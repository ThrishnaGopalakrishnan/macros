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thrishna/Desktop/MyProjects/macros/"/>
    </mc:Choice>
  </mc:AlternateContent>
  <xr:revisionPtr revIDLastSave="0" documentId="13_ncr:1_{B6803E98-D5D2-CD48-9A0D-37B863DE3478}" xr6:coauthVersionLast="47" xr6:coauthVersionMax="47" xr10:uidLastSave="{00000000-0000-0000-0000-000000000000}"/>
  <bookViews>
    <workbookView xWindow="0" yWindow="760" windowWidth="30240" windowHeight="17180" activeTab="12" xr2:uid="{00000000-000D-0000-FFFF-FFFF00000000}"/>
  </bookViews>
  <sheets>
    <sheet name="Change Sum" sheetId="9" r:id="rId1"/>
    <sheet name="Attribute" sheetId="1" r:id="rId2"/>
    <sheet name="subattribute" sheetId="10" state="hidden" r:id="rId3"/>
    <sheet name="Constraint" sheetId="5" r:id="rId4"/>
    <sheet name="Enumeration" sheetId="4" r:id="rId5"/>
    <sheet name="Datatype" sheetId="13" r:id="rId6"/>
    <sheet name=" Datatype Field" sheetId="16" r:id="rId7"/>
    <sheet name="Display Properties" sheetId="7" r:id="rId8"/>
    <sheet name="Attribute Properties" sheetId="15" r:id="rId9"/>
    <sheet name="Cust Rel Requirements" sheetId="12" r:id="rId10"/>
    <sheet name="Errors" sheetId="11" r:id="rId11"/>
    <sheet name="Notes" sheetId="8" r:id="rId12"/>
    <sheet name="Sheet1" sheetId="17" r:id="rId13"/>
    <sheet name="contype" sheetId="6" state="hidden" r:id="rId14"/>
    <sheet name="RTIP" sheetId="2" state="hidden" r:id="rId15"/>
    <sheet name="V2AttrType" sheetId="3" state="hidden" r:id="rId16"/>
  </sheets>
  <definedNames>
    <definedName name="_xlnm._FilterDatabase" localSheetId="6" hidden="1">' Datatype Field'!$A$1:$G$1</definedName>
    <definedName name="_xlnm._FilterDatabase" localSheetId="1" hidden="1">Attribute!$B$11:$E$39</definedName>
    <definedName name="_xleta.AND" hidden="1" xlm="1">#NAME?</definedName>
    <definedName name="_xleta.VALUE" hidden="1" xlm="1">#NAME?</definedName>
    <definedName name="Complex_Attribute_Datatype">contype!$AA$1:$AA$16</definedName>
    <definedName name="Component_Attribute_Datatype">contype!$Z$1:$Z$11</definedName>
    <definedName name="Component_Data_Type">contype!$F$1:$F$2</definedName>
    <definedName name="Component_Datatype">Table2[[#All],[Component Data Type]]</definedName>
    <definedName name="Datatype">contype!$E$1:$E$35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5" l="1"/>
  <c r="C22" i="1"/>
  <c r="A353" i="4" l="1"/>
  <c r="A449" i="4"/>
  <c r="D2" i="15"/>
  <c r="A290" i="4" l="1"/>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D7" i="7"/>
  <c r="D3" i="7"/>
  <c r="A442" i="4"/>
  <c r="A440" i="4"/>
  <c r="A454" i="4"/>
  <c r="A453" i="4"/>
  <c r="A452" i="4"/>
  <c r="A451" i="4"/>
  <c r="A450" i="4"/>
  <c r="A369" i="4"/>
  <c r="A368" i="4"/>
  <c r="A444" i="4"/>
  <c r="A445" i="4"/>
  <c r="A446" i="4"/>
  <c r="A447" i="4"/>
  <c r="A448" i="4"/>
  <c r="A354" i="4"/>
  <c r="A355" i="4"/>
  <c r="A356" i="4"/>
  <c r="A357" i="4"/>
  <c r="A358" i="4"/>
  <c r="A359" i="4"/>
  <c r="A360" i="4"/>
  <c r="A361" i="4"/>
  <c r="A362" i="4"/>
  <c r="A363" i="4"/>
  <c r="A364" i="4"/>
  <c r="A365" i="4"/>
  <c r="A366" i="4"/>
  <c r="A367" i="4"/>
  <c r="A349" i="4"/>
  <c r="A350" i="4"/>
  <c r="A351" i="4"/>
  <c r="A352" i="4"/>
  <c r="A432" i="4"/>
  <c r="A433" i="4"/>
  <c r="A434" i="4"/>
  <c r="A435" i="4"/>
  <c r="A436" i="4"/>
  <c r="A437" i="4"/>
  <c r="A438" i="4"/>
  <c r="A439" i="4"/>
  <c r="A441" i="4"/>
  <c r="A443" i="4"/>
  <c r="A332" i="4"/>
  <c r="A333" i="4"/>
  <c r="A334" i="4"/>
  <c r="A335" i="4"/>
  <c r="A336" i="4"/>
  <c r="A337" i="4"/>
  <c r="A338" i="4"/>
  <c r="A339" i="4"/>
  <c r="A340" i="4"/>
  <c r="A341" i="4"/>
  <c r="A342" i="4"/>
  <c r="A343" i="4"/>
  <c r="A344" i="4"/>
  <c r="A345" i="4"/>
  <c r="A346" i="4"/>
  <c r="A347" i="4"/>
  <c r="A348" i="4"/>
  <c r="A160" i="4"/>
  <c r="A161" i="4"/>
  <c r="A162" i="4"/>
  <c r="A163" i="4"/>
  <c r="A164" i="4"/>
  <c r="A165"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67" i="4"/>
  <c r="A68" i="4"/>
  <c r="A69" i="4"/>
  <c r="A70" i="4"/>
  <c r="A71" i="4"/>
  <c r="A72" i="4"/>
  <c r="A73" i="4"/>
  <c r="A74" i="4"/>
  <c r="A75" i="4"/>
  <c r="A76" i="4"/>
  <c r="A77" i="4"/>
  <c r="A78" i="4"/>
  <c r="A79" i="4"/>
  <c r="A80" i="4"/>
  <c r="A50" i="4"/>
  <c r="A51" i="4"/>
  <c r="A52" i="4"/>
  <c r="A53" i="4"/>
  <c r="A54" i="4"/>
  <c r="A55" i="4"/>
  <c r="A56" i="4"/>
  <c r="A57" i="4"/>
  <c r="A58" i="4"/>
  <c r="A59" i="4"/>
  <c r="A60" i="4"/>
  <c r="A61" i="4"/>
  <c r="A62" i="4"/>
  <c r="A63" i="4"/>
  <c r="A64" i="4"/>
  <c r="A65" i="4"/>
  <c r="A66" i="4"/>
  <c r="A31" i="4"/>
  <c r="A32" i="4"/>
  <c r="A33" i="4"/>
  <c r="A34" i="4"/>
  <c r="A35" i="4"/>
  <c r="A36" i="4"/>
  <c r="A37" i="4"/>
  <c r="A38" i="4"/>
  <c r="A39" i="4"/>
  <c r="A40" i="4"/>
  <c r="A41" i="4"/>
  <c r="A42" i="4"/>
  <c r="A43" i="4"/>
  <c r="A44" i="4"/>
  <c r="A45" i="4"/>
  <c r="A46" i="4"/>
  <c r="A47" i="4"/>
  <c r="A48" i="4"/>
  <c r="A49" i="4"/>
  <c r="A3" i="4"/>
  <c r="A4" i="4" s="1"/>
  <c r="A5" i="4" s="1"/>
  <c r="A6" i="4" s="1"/>
  <c r="A7" i="4" s="1"/>
  <c r="A8" i="4" s="1"/>
  <c r="A9" i="4" s="1"/>
  <c r="A10" i="4" s="1"/>
  <c r="A11" i="4" s="1"/>
  <c r="A12" i="4" s="1"/>
  <c r="A13" i="4" s="1"/>
  <c r="A14" i="4"/>
  <c r="A15" i="4"/>
  <c r="A16" i="4"/>
  <c r="A17" i="4"/>
  <c r="A18" i="4"/>
  <c r="A19" i="4"/>
  <c r="A20" i="4"/>
  <c r="R17" i="6"/>
  <c r="R24" i="6"/>
  <c r="G22" i="1"/>
  <c r="G21" i="1"/>
  <c r="H5" i="15" l="1"/>
  <c r="H4" i="15"/>
  <c r="H3" i="15"/>
  <c r="P4" i="6" l="1"/>
  <c r="AC2" i="6" l="1" a="1"/>
  <c r="AC2" i="6" s="1"/>
  <c r="E5" i="15"/>
  <c r="E4" i="15"/>
  <c r="E3" i="15"/>
  <c r="F2" i="15"/>
  <c r="R16" i="6"/>
  <c r="R15" i="6"/>
  <c r="R22" i="6" l="1"/>
  <c r="R13" i="6" l="1"/>
  <c r="R14" i="6"/>
  <c r="R12" i="6" l="1"/>
  <c r="R2" i="6"/>
  <c r="R8" i="6"/>
  <c r="R3" i="6"/>
  <c r="R7" i="6"/>
  <c r="R6" i="6"/>
  <c r="R4" i="6" l="1"/>
  <c r="A30" i="4" l="1"/>
  <c r="A29" i="4"/>
  <c r="A28" i="4"/>
  <c r="A27" i="4"/>
  <c r="A26" i="4"/>
  <c r="A25" i="4"/>
  <c r="A24" i="4"/>
  <c r="A23" i="4"/>
  <c r="A22" i="4"/>
  <c r="A21" i="4"/>
  <c r="R5" i="6" l="1"/>
  <c r="R21" i="6" l="1"/>
  <c r="R20" i="6"/>
  <c r="R19" i="6"/>
  <c r="R18" i="6" l="1"/>
  <c r="R11" i="6" l="1"/>
  <c r="R9" i="6"/>
  <c r="B10" i="10"/>
  <c r="B28" i="10" l="1"/>
  <c r="H10" i="10"/>
  <c r="C20" i="1"/>
  <c r="C23" i="1"/>
  <c r="H11" i="10" l="1"/>
  <c r="R10" i="6" l="1"/>
  <c r="D7" i="10" l="1"/>
  <c r="H12" i="10" l="1"/>
  <c r="B12" i="10" s="1"/>
  <c r="H13" i="10" s="1"/>
  <c r="E31" i="4" l="1"/>
  <c r="E30" i="4"/>
  <c r="E29" i="4"/>
  <c r="E28" i="4"/>
  <c r="E27" i="4"/>
  <c r="E26" i="4"/>
  <c r="E25" i="4"/>
  <c r="E24" i="4"/>
  <c r="E23" i="4"/>
  <c r="E22" i="4"/>
  <c r="E21" i="4"/>
  <c r="E20" i="4"/>
  <c r="E19" i="4"/>
  <c r="E18" i="4"/>
  <c r="E17" i="4"/>
  <c r="E16" i="4"/>
  <c r="E15" i="4"/>
  <c r="E14" i="4"/>
  <c r="E13" i="4"/>
  <c r="E12" i="4"/>
  <c r="E11" i="4"/>
  <c r="E10" i="4"/>
  <c r="E9" i="4"/>
  <c r="E8" i="4"/>
  <c r="E7" i="4"/>
  <c r="E6" i="4"/>
  <c r="E5" i="4"/>
  <c r="E4" i="4"/>
  <c r="E3" i="4"/>
  <c r="G23" i="1" l="1"/>
  <c r="A2" i="4"/>
  <c r="D9" i="7" l="1"/>
  <c r="B8" i="10" l="1"/>
  <c r="H9" i="10" l="1"/>
  <c r="C15" i="10"/>
  <c r="C18" i="1" l="1"/>
  <c r="G19" i="1"/>
  <c r="S6" i="6" s="1"/>
  <c r="D25" i="1"/>
  <c r="M3" i="6"/>
  <c r="M2" i="6"/>
  <c r="S10" i="6" l="1"/>
  <c r="S2" i="6"/>
  <c r="S8" i="6"/>
  <c r="S7" i="6"/>
  <c r="S9" i="6"/>
  <c r="S5" i="6"/>
  <c r="S12" i="6"/>
  <c r="A31" i="10" s="1"/>
  <c r="S4" i="6"/>
  <c r="S11" i="6"/>
  <c r="S3" i="6"/>
  <c r="G20" i="1"/>
  <c r="B3" i="10" l="1"/>
  <c r="R23" i="6" s="1"/>
  <c r="I17" i="6"/>
  <c r="I16" i="6"/>
  <c r="I14" i="6"/>
  <c r="I13" i="6"/>
  <c r="I11" i="6"/>
  <c r="I10" i="6"/>
  <c r="I18" i="6"/>
  <c r="I15" i="6"/>
  <c r="P21" i="6"/>
  <c r="I28" i="6"/>
  <c r="P6" i="6"/>
  <c r="P20" i="6"/>
  <c r="I29" i="6"/>
  <c r="I9" i="6"/>
  <c r="P7" i="6"/>
  <c r="I30" i="6"/>
  <c r="I12" i="6"/>
  <c r="I31" i="6"/>
  <c r="I20" i="6"/>
  <c r="I33" i="6"/>
  <c r="P35" i="6"/>
  <c r="P34" i="6"/>
  <c r="I34" i="6"/>
  <c r="I26" i="6"/>
  <c r="P5" i="6"/>
  <c r="P24" i="6"/>
  <c r="P2" i="6"/>
  <c r="I22" i="6"/>
  <c r="I25" i="6"/>
  <c r="P22" i="6"/>
  <c r="I3" i="6"/>
  <c r="I32" i="6"/>
  <c r="I21" i="6"/>
  <c r="I35" i="6"/>
  <c r="B42" i="1" s="1"/>
  <c r="I23" i="6"/>
  <c r="P31" i="6"/>
  <c r="P29" i="6"/>
  <c r="I27" i="6"/>
  <c r="I24" i="6"/>
  <c r="I8" i="6"/>
  <c r="P28" i="6"/>
  <c r="P26" i="6"/>
  <c r="I7" i="6"/>
  <c r="I19" i="6"/>
  <c r="I6" i="6"/>
  <c r="I5" i="6"/>
  <c r="I4" i="6"/>
  <c r="I2" i="6"/>
  <c r="C21" i="1"/>
  <c r="C13" i="1"/>
  <c r="C19" i="1"/>
  <c r="P3" i="6"/>
  <c r="P33" i="6"/>
  <c r="P19" i="6"/>
  <c r="P32" i="6"/>
  <c r="B9" i="10"/>
  <c r="B11" i="10" s="1"/>
  <c r="P13" i="6" l="1"/>
  <c r="P16" i="6"/>
  <c r="P15" i="6"/>
  <c r="P14" i="6"/>
  <c r="P10" i="6"/>
  <c r="P18" i="6"/>
  <c r="P17" i="6"/>
  <c r="P27" i="6"/>
  <c r="P12" i="6"/>
  <c r="P8" i="6"/>
  <c r="P25" i="6"/>
  <c r="P9" i="6"/>
  <c r="A3" i="7"/>
  <c r="A5" i="7"/>
  <c r="A6" i="7"/>
  <c r="A7" i="7"/>
  <c r="A4" i="7"/>
  <c r="A8" i="7"/>
  <c r="A9" i="7"/>
  <c r="B55" i="1"/>
  <c r="P23" i="6"/>
  <c r="P30" i="6"/>
  <c r="E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A1" authorId="0" shapeId="0" xr:uid="{3123812D-A976-D94A-8224-19D014B193D6}">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Thrishna needs to fix this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<sst xmlns="http://schemas.openxmlformats.org/spreadsheetml/2006/main" count="3167" uniqueCount="920">
  <si>
    <t>Version</t>
  </si>
  <si>
    <t>Date</t>
  </si>
  <si>
    <t>Change</t>
  </si>
  <si>
    <t>x</t>
  </si>
  <si>
    <t>Details on the modeling of attributes can be found here: https://quip-amazon.com/fDHeAZfFRbbV/Attribute-Modeling-Guidelines-Simple-Attributes</t>
  </si>
  <si>
    <t>Attribute Creation Template</t>
  </si>
  <si>
    <t>Use Case</t>
  </si>
  <si>
    <t>Change Type</t>
  </si>
  <si>
    <t>New Simple Attribute</t>
  </si>
  <si>
    <t>Description</t>
  </si>
  <si>
    <t>Existing Attribute Match:</t>
  </si>
  <si>
    <t>Who Will Submit Attribute Info and How?</t>
  </si>
  <si>
    <t>Who will Consume These Attributes</t>
  </si>
  <si>
    <t>Other Considerations</t>
  </si>
  <si>
    <t>New Attribute Details</t>
  </si>
  <si>
    <t>Concept Name</t>
  </si>
  <si>
    <t>V3 Attribute Name</t>
  </si>
  <si>
    <t>Datatype</t>
  </si>
  <si>
    <t>Name</t>
  </si>
  <si>
    <t>Status</t>
  </si>
  <si>
    <t>SymbolVariant@1.0</t>
  </si>
  <si>
    <t>Existing</t>
  </si>
  <si>
    <t>Enumeration Details</t>
  </si>
  <si>
    <t>Type</t>
  </si>
  <si>
    <t>Closed</t>
  </si>
  <si>
    <t>New</t>
  </si>
  <si>
    <t>Selectors</t>
  </si>
  <si>
    <t>V2 Attribute Name</t>
  </si>
  <si>
    <t>Context Name</t>
  </si>
  <si>
    <t>RTIP Attribute Name</t>
  </si>
  <si>
    <t>RTIP Format and Conversion Rule</t>
  </si>
  <si>
    <t>RTIP Attribute Properties</t>
  </si>
  <si>
    <t xml:space="preserve">Marketplace (m), Vendor (v), Publish (p) </t>
  </si>
  <si>
    <t>Global Attribute Configuration</t>
  </si>
  <si>
    <t>Is Global Attribute</t>
  </si>
  <si>
    <t>Configuration</t>
  </si>
  <si>
    <t>No</t>
  </si>
  <si>
    <t>Visibility</t>
  </si>
  <si>
    <t>ITEM_ONLY</t>
  </si>
  <si>
    <t>Reconciliation</t>
  </si>
  <si>
    <t>Simple preference</t>
  </si>
  <si>
    <t>Is Identity Attribute?</t>
  </si>
  <si>
    <t>Is Descriptive Attribute?</t>
  </si>
  <si>
    <t>Is Branded Attribute?</t>
  </si>
  <si>
    <t>Is Refinement Candidate?</t>
  </si>
  <si>
    <t>Display: Attribute Label</t>
  </si>
  <si>
    <t>Example</t>
  </si>
  <si>
    <t>Attribute (Required)</t>
  </si>
  <si>
    <t>Variant Path (Required)</t>
  </si>
  <si>
    <t>Domain (Required)</t>
  </si>
  <si>
    <t>Contributor Type (Required)</t>
  </si>
  <si>
    <t>Product Type (Required)</t>
  </si>
  <si>
    <t>Constraint Type (Required)</t>
  </si>
  <si>
    <t>Conditional Context</t>
  </si>
  <si>
    <t>Constraint Value (Required &amp; Non-Key)</t>
  </si>
  <si>
    <t>*</t>
  </si>
  <si>
    <t>contributor</t>
  </si>
  <si>
    <t>PRODUCT</t>
  </si>
  <si>
    <t>max_occurs</t>
  </si>
  <si>
    <t>value</t>
  </si>
  <si>
    <t>Enumeration Name (Required)</t>
  </si>
  <si>
    <t xml:space="preserve"> Attribute Display Property</t>
  </si>
  <si>
    <t>Ccp Attribute Name</t>
  </si>
  <si>
    <t>Ccp Variant Path</t>
  </si>
  <si>
    <t>Ccp Attribute Display Property Name</t>
  </si>
  <si>
    <t>Source Content &lt;en_US&gt;</t>
  </si>
  <si>
    <t>example_text</t>
  </si>
  <si>
    <t>label</t>
  </si>
  <si>
    <t>short_description</t>
  </si>
  <si>
    <t>long_description</t>
  </si>
  <si>
    <t>Datatype Design Source</t>
  </si>
  <si>
    <t>In Doc</t>
  </si>
  <si>
    <t>Notes</t>
  </si>
  <si>
    <t xml:space="preserve">PT Scope Note: </t>
  </si>
  <si>
    <t>References</t>
  </si>
  <si>
    <t>Search Terms</t>
  </si>
  <si>
    <t>Resolution</t>
  </si>
  <si>
    <t>Action Needed</t>
  </si>
  <si>
    <t>Comment</t>
  </si>
  <si>
    <t>Browse Node</t>
  </si>
  <si>
    <t>Mapping</t>
  </si>
  <si>
    <t>min_value_exclusive</t>
  </si>
  <si>
    <t>Simple Preference</t>
  </si>
  <si>
    <t>Boolean</t>
  </si>
  <si>
    <t>Formulas</t>
  </si>
  <si>
    <t>Datatype Source</t>
  </si>
  <si>
    <t>Item Offer</t>
  </si>
  <si>
    <t>max_value_exclusive</t>
  </si>
  <si>
    <t>Yes</t>
  </si>
  <si>
    <t>Open</t>
  </si>
  <si>
    <t>BoolVariant@1.0</t>
  </si>
  <si>
    <t>Union All</t>
  </si>
  <si>
    <t>max_precision</t>
  </si>
  <si>
    <t>DecimalVariant@1.0</t>
  </si>
  <si>
    <t>New Complex Attribute</t>
  </si>
  <si>
    <t>In Link</t>
  </si>
  <si>
    <t>OFFERING_ONLY</t>
  </si>
  <si>
    <t>LocalizedStringVariant@1.0</t>
  </si>
  <si>
    <t>New Datatype</t>
  </si>
  <si>
    <t>ITEM_AND_OFFER</t>
  </si>
  <si>
    <t>min_occurs</t>
  </si>
  <si>
    <t>Change Datatype</t>
  </si>
  <si>
    <t>min_length</t>
  </si>
  <si>
    <t>Update to Datatype and Attribute</t>
  </si>
  <si>
    <t>max_length</t>
  </si>
  <si>
    <t>StringVariant@1.0</t>
  </si>
  <si>
    <t>Update to Attribute</t>
  </si>
  <si>
    <t>soft_enumeration</t>
  </si>
  <si>
    <t>min_precision</t>
  </si>
  <si>
    <t>TimestampVariant@1.0</t>
  </si>
  <si>
    <t>min_scale</t>
  </si>
  <si>
    <t>UnitDecimalVariant@1.0</t>
  </si>
  <si>
    <t>max_scale</t>
  </si>
  <si>
    <t>FractionMeasureVariant@1.0</t>
  </si>
  <si>
    <t>min_value</t>
  </si>
  <si>
    <t>IntVariant@1.0</t>
  </si>
  <si>
    <t>max_value</t>
  </si>
  <si>
    <t>TypeSubTypeVariant@1.0</t>
  </si>
  <si>
    <t>enumeration</t>
  </si>
  <si>
    <t>TypedIntVariant@1.0</t>
  </si>
  <si>
    <t>TypedQuantityVariant@1.0</t>
  </si>
  <si>
    <t>TypedStringVariant@1.0</t>
  </si>
  <si>
    <t>TypedSymbolVariant@1.0</t>
  </si>
  <si>
    <t>Complex Data Type</t>
  </si>
  <si>
    <t>array_string</t>
  </si>
  <si>
    <t>boolean</t>
  </si>
  <si>
    <t>double</t>
  </si>
  <si>
    <t>imsv3_string</t>
  </si>
  <si>
    <t>int</t>
  </si>
  <si>
    <t>string</t>
  </si>
  <si>
    <t>pair_double_string</t>
  </si>
  <si>
    <t>index_type</t>
  </si>
  <si>
    <t>subfield</t>
  </si>
  <si>
    <t>Datatype Subattribute</t>
  </si>
  <si>
    <t>BoolStruct@1.0</t>
  </si>
  <si>
    <t>DecimalStruct@1.0</t>
  </si>
  <si>
    <t>IntStruct@1.0</t>
  </si>
  <si>
    <t>LocalizedString@1.0</t>
  </si>
  <si>
    <t>StringStruct@1.0</t>
  </si>
  <si>
    <t>SymbolStruct@1.0</t>
  </si>
  <si>
    <t>TimestampStruct@1.0</t>
  </si>
  <si>
    <t>UnitDecimalStruct@1.0</t>
  </si>
  <si>
    <t>Component Attribute</t>
  </si>
  <si>
    <t>Component Data Type</t>
  </si>
  <si>
    <t>{
  ccp_datatype_name:Band,
  ccp_datatype_version:"1.0",
  definition:type::{
    name:Band,
    major_version:1,
    minor_version:0,
    base:'VariantBase@1.0',
    fields:[
      {
        name:length,
        type:type::{
          base:list,
          element:'UnitDecimalStruct@1.0'
        },
        nullable:false,
        min_occurs:0,
        max_occurs:1
      },
      {
        name:material,
        type:type::{
          base:list,
          element:'LocalizedString@1.0'
        },
        nullable:false,
        min_occurs:0,
        max_occurs:1
      }     
    ]
  },
  status:active,
  table_name:ccp_datatypes,
   stage_version:"CCPDevo-7"
}</t>
  </si>
  <si>
    <t>DT Example</t>
  </si>
  <si>
    <t>Subattribute Concept</t>
  </si>
  <si>
    <t>handle:[
{
  material:[
    {
    value: lead,
    language_tag:en_US
    }
  ]
}
]</t>
  </si>
  <si>
    <t>Is Configurable?</t>
  </si>
  <si>
    <t>UnitDecimalRangeVariant@1.0</t>
  </si>
  <si>
    <t>Attribute SDL</t>
  </si>
  <si>
    <t>PriceVariant@1.0</t>
  </si>
  <si>
    <t>price</t>
  </si>
  <si>
    <t>UnitIntVariant@1.0</t>
  </si>
  <si>
    <t>Is Replacement Attribute?</t>
  </si>
  <si>
    <t>Is Opaque Identifier?</t>
  </si>
  <si>
    <t>Replacement Attribute</t>
  </si>
  <si>
    <t>Enumeration Label (Required)</t>
  </si>
  <si>
    <t>Not Applicable</t>
  </si>
  <si>
    <t>FractionVariant@1.0</t>
  </si>
  <si>
    <t>TypedPriceVariant@1.0</t>
  </si>
  <si>
    <t>FractionMeasure@1.0</t>
  </si>
  <si>
    <t>Complex Mapping</t>
  </si>
  <si>
    <t>Shape Size</t>
  </si>
  <si>
    <t>Attribute Example</t>
  </si>
  <si>
    <t>Is Subtype Attribute?</t>
  </si>
  <si>
    <t>Editable</t>
  </si>
  <si>
    <t>visible_editable</t>
  </si>
  <si>
    <t>not_visible_or_editable</t>
  </si>
  <si>
    <t>Recon</t>
  </si>
  <si>
    <t>Error</t>
  </si>
  <si>
    <t>data_val</t>
  </si>
  <si>
    <t>NormalizedUnitDecimalStruct@1.0</t>
  </si>
  <si>
    <t>Price@1.0</t>
  </si>
  <si>
    <t>{
  ccp_datatype_name:ExampleComplex,
  ccp_datatype_version:"5.0",
  status:active,
  definition:type::{
    fields:[
      {
        name:example_type,
        type:symbol,
        nullable:false,
        min_occurs:1,
        max_occurs:1
      },
      {
        name:example_names,
        nullable:false,
        min_occurs:0,
        max_occurs:1,
        type:'SymbolList@1.0'
      }
    ],
    base:'VariantBase@1.0',
    name:CaliforniaProposition6,
    major_version:5,
    minor_version:0
  },
  table_name:ccp_datatypes,
   stage_version:"CCPProd-1096"
}</t>
  </si>
  <si>
    <t>Component SDL</t>
  </si>
  <si>
    <t>Replaced Attribute</t>
  </si>
  <si>
    <t>Global Class</t>
  </si>
  <si>
    <t>Global</t>
  </si>
  <si>
    <t>Local</t>
  </si>
  <si>
    <t>Unknown</t>
  </si>
  <si>
    <t>Global Status</t>
  </si>
  <si>
    <t>Contributor Type</t>
  </si>
  <si>
    <t>Domain</t>
  </si>
  <si>
    <t>Product Type</t>
  </si>
  <si>
    <t>customer_relevant_attribute</t>
  </si>
  <si>
    <t xml:space="preserve">Customer Relevance Rank </t>
  </si>
  <si>
    <t>Requirement Tag</t>
  </si>
  <si>
    <t>Attribute Class</t>
  </si>
  <si>
    <t>Datatype Name (Required)</t>
  </si>
  <si>
    <t>Field (Required)</t>
  </si>
  <si>
    <t>Field Type (Required &amp; Non-Key)</t>
  </si>
  <si>
    <t>Min Occurs</t>
  </si>
  <si>
    <t>Max Occurs</t>
  </si>
  <si>
    <t>Is Nullable</t>
  </si>
  <si>
    <t>Requirements</t>
  </si>
  <si>
    <t>Is Attribute Part of Listing Experience?</t>
  </si>
  <si>
    <t>Link to Sim</t>
  </si>
  <si>
    <t>Is Attribute Visible to Customer?</t>
  </si>
  <si>
    <t>Attribute Group</t>
  </si>
  <si>
    <t>offer</t>
  </si>
  <si>
    <t>variations</t>
  </si>
  <si>
    <t>product_identity</t>
  </si>
  <si>
    <t>product_details</t>
  </si>
  <si>
    <t>pricing</t>
  </si>
  <si>
    <t>shipping</t>
  </si>
  <si>
    <t>safety_and_compliance</t>
  </si>
  <si>
    <t>images</t>
  </si>
  <si>
    <t>supplier_description</t>
  </si>
  <si>
    <t>Attribute Listing Group</t>
  </si>
  <si>
    <t>symbol</t>
  </si>
  <si>
    <t>decimal</t>
  </si>
  <si>
    <t>bool</t>
  </si>
  <si>
    <t>timestamp</t>
  </si>
  <si>
    <t>seller</t>
  </si>
  <si>
    <t>vendor</t>
  </si>
  <si>
    <t>refinement_eligible_attribute</t>
  </si>
  <si>
    <t>creation</t>
  </si>
  <si>
    <t>matching</t>
  </si>
  <si>
    <t>browse_refinements</t>
  </si>
  <si>
    <t>customer_returns</t>
  </si>
  <si>
    <t>product_definition</t>
  </si>
  <si>
    <t>availability</t>
  </si>
  <si>
    <t>contribution_processing</t>
  </si>
  <si>
    <t>offer_enhanced</t>
  </si>
  <si>
    <t>package_hierarchy_classification</t>
  </si>
  <si>
    <t>variations_processing</t>
  </si>
  <si>
    <t>visible</t>
  </si>
  <si>
    <t>Dts</t>
  </si>
  <si>
    <t>'DecimalList@1.0'</t>
  </si>
  <si>
    <t>FractionMeasure@1.0'</t>
  </si>
  <si>
    <t>'IntList@1.0'</t>
  </si>
  <si>
    <t>Price@1.0'</t>
  </si>
  <si>
    <t>'RangeOrSingleValueStruct@1.0'</t>
  </si>
  <si>
    <t>'StringList@1.0'</t>
  </si>
  <si>
    <t>'SymbolList@1.0'</t>
  </si>
  <si>
    <t>UnitDecimalStruct@1.0'</t>
  </si>
  <si>
    <t>'UnitIntStruct@1.0'</t>
  </si>
  <si>
    <t>{base:list,element:'BoolStruct@1.0'}</t>
  </si>
  <si>
    <t>{base:list,element:'DecimalStruct@1.0'}</t>
  </si>
  <si>
    <t>{base:list,element:'FractionMeasure@1.0'}</t>
  </si>
  <si>
    <t>{base:list,element:'IntStruct@1.0'}</t>
  </si>
  <si>
    <t>{base:list,element:'LocalizedString@1.0'}</t>
  </si>
  <si>
    <t>{base:list,element:'StringStruct@1.0'}</t>
  </si>
  <si>
    <t>{base:list,element:'SymbolStruct@1.0'}</t>
  </si>
  <si>
    <t>{base:list,element:'TimestampStruct@1.0'}</t>
  </si>
  <si>
    <t>{base:list,element:'UnitDecimalStruct@1.0'}</t>
  </si>
  <si>
    <t>{base:list,element:'UnitIntStruct@1.0'}</t>
  </si>
  <si>
    <t>refinement_ineligible_attribute</t>
  </si>
  <si>
    <t>refinement_partially_eligible_attribute</t>
  </si>
  <si>
    <t>Datatype Design Source 2</t>
  </si>
  <si>
    <t>Type Definition (Required &amp; Non-Key)</t>
  </si>
  <si>
    <t>Description (Non-Key)</t>
  </si>
  <si>
    <t>Action (Non-Key)</t>
  </si>
  <si>
    <t>Action</t>
  </si>
  <si>
    <t>Insert</t>
  </si>
  <si>
    <t>Delete</t>
  </si>
  <si>
    <t>Update</t>
  </si>
  <si>
    <t>Base</t>
  </si>
  <si>
    <t>VariantBase@1.0'</t>
  </si>
  <si>
    <t>struct</t>
  </si>
  <si>
    <t>Property Group</t>
  </si>
  <si>
    <t>Attribute Property</t>
  </si>
  <si>
    <t>Property Value</t>
  </si>
  <si>
    <t>ui_modifiers</t>
  </si>
  <si>
    <t>definition_includes</t>
  </si>
  <si>
    <t>definition_excludes</t>
  </si>
  <si>
    <t>legal_base</t>
  </si>
  <si>
    <t>definition_base</t>
  </si>
  <si>
    <t>Complex Attribute With Sub-attribute</t>
  </si>
  <si>
    <t>ItemDepthWidthHeight@1.0</t>
  </si>
  <si>
    <t>ItemDiameterLength@1.0</t>
  </si>
  <si>
    <t>ItemHeightThickness@1.0</t>
  </si>
  <si>
    <t>ItemLengthWidth@1.0</t>
  </si>
  <si>
    <t>ItemLengthWidthDepth@1.0</t>
  </si>
  <si>
    <t>ItemLengthWidthHeight@1.0</t>
  </si>
  <si>
    <t>ItemLengthWidthThickness@1.0</t>
  </si>
  <si>
    <t>TypedUnitDecimalVariant</t>
  </si>
  <si>
    <t>TypedStringStruct@1.0</t>
  </si>
  <si>
    <t>'URLString@1.0'</t>
  </si>
  <si>
    <t>Complex Attribute with Sub-attribute</t>
  </si>
  <si>
    <t>TimeStampVariant@1.0</t>
  </si>
  <si>
    <t>TypedIntRangeVariant@1.0</t>
  </si>
  <si>
    <t>NormalizedUnitDecimalVariant@1.0</t>
  </si>
  <si>
    <t>TypedUnitDecimalVariant@1.0</t>
  </si>
  <si>
    <t>Global/Local</t>
  </si>
  <si>
    <t>No Reconciliation (FALSE)</t>
  </si>
  <si>
    <t>subtype_attribute</t>
  </si>
  <si>
    <t>See Enum Tab</t>
  </si>
  <si>
    <t>Enumprop</t>
  </si>
  <si>
    <t>ItemDiameterThickness@1.0</t>
  </si>
  <si>
    <t>ItemWidthDiameterHeight@1.0</t>
  </si>
  <si>
    <t>ItemWidthHeight@1.0</t>
  </si>
  <si>
    <t>ItemWidthHeightThickness@1.0</t>
  </si>
  <si>
    <t>widget_type:[
{
marketplace_id:1,
height:{
unit:inches,
value:42
},
thickness:{
unit:inches,
value:42
}
}]</t>
  </si>
  <si>
    <t>legal_attribute</t>
  </si>
  <si>
    <t>/</t>
  </si>
  <si>
    <t>Initial Version - Added attributes and it's enumeration set</t>
  </si>
  <si>
    <t>Use Case:  minimum_required_operating_system_version</t>
  </si>
  <si>
    <t>https://issues.amazon.com/issues/PK-8894</t>
  </si>
  <si>
    <t>min_operating_system_version_required</t>
  </si>
  <si>
    <t>minimum_required_operating_system_version</t>
  </si>
  <si>
    <t>Not Applicable is not a valid enumeration name for a symbol variant.</t>
  </si>
  <si>
    <t>Enumeration for symbol variant attribute must be closed at PRODUCT.</t>
  </si>
  <si>
    <t>[minimum_required_operating_system_version]</t>
  </si>
  <si>
    <t>Windows 1</t>
  </si>
  <si>
    <t>Windows 2</t>
  </si>
  <si>
    <t>Windows 3</t>
  </si>
  <si>
    <t>Windows 3.1</t>
  </si>
  <si>
    <t>windows_nt_3_1_workstation</t>
  </si>
  <si>
    <t>Windows NT 3.1 Workstation</t>
  </si>
  <si>
    <t>windows_nt_3_5_workstation</t>
  </si>
  <si>
    <t>Windows NT 3.5 Workstation</t>
  </si>
  <si>
    <t>windows_95</t>
  </si>
  <si>
    <t>Windows 95</t>
  </si>
  <si>
    <t>windows_nt_4_0_workstation</t>
  </si>
  <si>
    <t>Windows NT 4.0 Workstation</t>
  </si>
  <si>
    <t>windows_98</t>
  </si>
  <si>
    <t>Windows 98</t>
  </si>
  <si>
    <t>windows_98_se</t>
  </si>
  <si>
    <t>Windows 98 SE</t>
  </si>
  <si>
    <t>windows_2000_professional</t>
  </si>
  <si>
    <t>Windows 2000 Professional</t>
  </si>
  <si>
    <t>windows_me</t>
  </si>
  <si>
    <t>Windows Me</t>
  </si>
  <si>
    <t>windows_xp</t>
  </si>
  <si>
    <t>Windows XP</t>
  </si>
  <si>
    <t>windows_vista</t>
  </si>
  <si>
    <t>Windows Vista</t>
  </si>
  <si>
    <t>windows_5_0</t>
  </si>
  <si>
    <t>Windows 5.0</t>
  </si>
  <si>
    <t>windows_6_0</t>
  </si>
  <si>
    <t>Windows 6.0</t>
  </si>
  <si>
    <t>windows_6_1</t>
  </si>
  <si>
    <t>Windows 6.1</t>
  </si>
  <si>
    <t>windows_6_5</t>
  </si>
  <si>
    <t>Windows 6.5</t>
  </si>
  <si>
    <t>windows_7</t>
  </si>
  <si>
    <t>Windows 7</t>
  </si>
  <si>
    <t>windows_8</t>
  </si>
  <si>
    <t>Windows 8</t>
  </si>
  <si>
    <t>windows_8_1</t>
  </si>
  <si>
    <t>Windows 8.1</t>
  </si>
  <si>
    <t>windows_10</t>
  </si>
  <si>
    <t>Windows 10 </t>
  </si>
  <si>
    <t>windows_10_s</t>
  </si>
  <si>
    <t>Windows 10 S</t>
  </si>
  <si>
    <t>windows_10_pro</t>
  </si>
  <si>
    <t>Windows 10 Professional</t>
  </si>
  <si>
    <t>windows_10_home</t>
  </si>
  <si>
    <t>Windows 10 Home</t>
  </si>
  <si>
    <t>windows_11</t>
  </si>
  <si>
    <t>Windows 11</t>
  </si>
  <si>
    <t>windows_11_pro</t>
  </si>
  <si>
    <t>Windows 11 Pro</t>
  </si>
  <si>
    <t>windows_11_se</t>
  </si>
  <si>
    <t>Windows 11 SE</t>
  </si>
  <si>
    <t>windows_11_home</t>
  </si>
  <si>
    <t>Windows 11 Home</t>
  </si>
  <si>
    <t>windows_11_s</t>
  </si>
  <si>
    <t>Windows 11 S</t>
  </si>
  <si>
    <t>windows_7_professional</t>
  </si>
  <si>
    <t>Windows 7 Professional</t>
  </si>
  <si>
    <t>windows_7_ultimate</t>
  </si>
  <si>
    <t>Windows 7 Ultimate</t>
  </si>
  <si>
    <t>windows_7_home_premium</t>
  </si>
  <si>
    <t>Windows 7 Home Premium</t>
  </si>
  <si>
    <t>windows_7_starter</t>
  </si>
  <si>
    <t>Windows 7 Starter</t>
  </si>
  <si>
    <t>windows_7_home_basic</t>
  </si>
  <si>
    <t>Windows 7 Home Basic</t>
  </si>
  <si>
    <t>windows_8_pro</t>
  </si>
  <si>
    <t>Windows 8 Pro</t>
  </si>
  <si>
    <t>windows_8_1_pro</t>
  </si>
  <si>
    <t>Windows 8.1 Pro</t>
  </si>
  <si>
    <t>windows_8_rt</t>
  </si>
  <si>
    <t>Windows 8 RT</t>
  </si>
  <si>
    <t>android_1_0</t>
  </si>
  <si>
    <t>Android 1.0</t>
  </si>
  <si>
    <t>android_1_1</t>
  </si>
  <si>
    <t>Anrdroid 1.1</t>
  </si>
  <si>
    <t>Android 1.5 Cupcake</t>
  </si>
  <si>
    <t>android_1_6_donut</t>
  </si>
  <si>
    <t>Android 1.6 Donut</t>
  </si>
  <si>
    <t>android_2_0_eclair</t>
  </si>
  <si>
    <t>Android 2.0 Eclair</t>
  </si>
  <si>
    <t>android_2_1_eclair</t>
  </si>
  <si>
    <t>Android 2.1 Eclair</t>
  </si>
  <si>
    <t>android_2_2_froyo</t>
  </si>
  <si>
    <t>Android 2.2 Froyo</t>
  </si>
  <si>
    <t>android_2_3_gingerbread</t>
  </si>
  <si>
    <t>Android 2.3 Gingerbread</t>
  </si>
  <si>
    <t>Android 3.0 Honeycomb</t>
  </si>
  <si>
    <t>Android 3.1 Honeycomb</t>
  </si>
  <si>
    <t>android_3_2_honeycomb</t>
  </si>
  <si>
    <t>Android 3.2 Honeycomb</t>
  </si>
  <si>
    <t>android_4_0_ice_cream_sandwich</t>
  </si>
  <si>
    <t>Android 4.0 Ice Cream Sandwich</t>
  </si>
  <si>
    <t>android_4_1_jelly_bean</t>
  </si>
  <si>
    <t>Android 4.1 Jelly Bean</t>
  </si>
  <si>
    <t>android_4_2_jelly_bean</t>
  </si>
  <si>
    <t>Android 4.2 Jelly Bean</t>
  </si>
  <si>
    <t>android_4_3_jelly_bean</t>
  </si>
  <si>
    <t>Android 4.3 Jelly Bean</t>
  </si>
  <si>
    <t>android_4_4_kit_kat</t>
  </si>
  <si>
    <t>Android 4.4 KitKat</t>
  </si>
  <si>
    <t>android_5_0_lollipop</t>
  </si>
  <si>
    <t>Android 5.0 Lollipop</t>
  </si>
  <si>
    <t>android_5_1_lollipop</t>
  </si>
  <si>
    <t>Android 5.1 Lollipop</t>
  </si>
  <si>
    <t>android_6_0_marshmallow</t>
  </si>
  <si>
    <t>Android 6.0 Marshmallow</t>
  </si>
  <si>
    <t>android_7_0_nougat</t>
  </si>
  <si>
    <t>Android 7.0 Nougat</t>
  </si>
  <si>
    <t>android_8_0_oreo</t>
  </si>
  <si>
    <t>Android 8.0 Oreo</t>
  </si>
  <si>
    <t>android_8_1_oreo</t>
  </si>
  <si>
    <t>Android 8.1 Oreo</t>
  </si>
  <si>
    <t>android_8_1_go</t>
  </si>
  <si>
    <t>Android 8.1 Go</t>
  </si>
  <si>
    <t>android_9_0_pie</t>
  </si>
  <si>
    <t>Android 9.0 Pie</t>
  </si>
  <si>
    <t>android_10_0</t>
  </si>
  <si>
    <t>Android 10.0</t>
  </si>
  <si>
    <t>android_10_go</t>
  </si>
  <si>
    <t>Android 10 Go</t>
  </si>
  <si>
    <t>android_11_0</t>
  </si>
  <si>
    <t>Android 11.0</t>
  </si>
  <si>
    <t>android_11_go</t>
  </si>
  <si>
    <t>Android 11 Go</t>
  </si>
  <si>
    <t>android_12_0</t>
  </si>
  <si>
    <t>Android 12.0</t>
  </si>
  <si>
    <t>android_12_go</t>
  </si>
  <si>
    <t>Android 12 Go</t>
  </si>
  <si>
    <t>Android 12L</t>
  </si>
  <si>
    <t>android_13_0</t>
  </si>
  <si>
    <t>Android 13.0</t>
  </si>
  <si>
    <t>android_15_0</t>
  </si>
  <si>
    <t>android_16_0</t>
  </si>
  <si>
    <t>i_os_1</t>
  </si>
  <si>
    <t>iOS 1</t>
  </si>
  <si>
    <t>i_os_2</t>
  </si>
  <si>
    <t>iOS 2</t>
  </si>
  <si>
    <t>i_os_3</t>
  </si>
  <si>
    <t>iOS 3</t>
  </si>
  <si>
    <t>i_os_4</t>
  </si>
  <si>
    <t>iOS 4</t>
  </si>
  <si>
    <t>i_os_5</t>
  </si>
  <si>
    <t>iOS 5</t>
  </si>
  <si>
    <t>i_os_6</t>
  </si>
  <si>
    <t>iOS 6</t>
  </si>
  <si>
    <t>i_os_7</t>
  </si>
  <si>
    <t>iOS 7</t>
  </si>
  <si>
    <t>i_os_8</t>
  </si>
  <si>
    <t>iOS 8</t>
  </si>
  <si>
    <t>i_os_9</t>
  </si>
  <si>
    <t>iOS 9</t>
  </si>
  <si>
    <t>i_os_10</t>
  </si>
  <si>
    <t>iOS 10</t>
  </si>
  <si>
    <t>i_os_11</t>
  </si>
  <si>
    <t>iOS 11</t>
  </si>
  <si>
    <t>i_os_12</t>
  </si>
  <si>
    <t>iOS 12</t>
  </si>
  <si>
    <t>i_os_13</t>
  </si>
  <si>
    <t>iOS 13</t>
  </si>
  <si>
    <t>i_os_14</t>
  </si>
  <si>
    <t>iOS 14</t>
  </si>
  <si>
    <t>i_os_15</t>
  </si>
  <si>
    <t>iOS 15</t>
  </si>
  <si>
    <t>i_os_16</t>
  </si>
  <si>
    <t>iOS 16</t>
  </si>
  <si>
    <t>i_os_17</t>
  </si>
  <si>
    <t>iOS 17</t>
  </si>
  <si>
    <t>i_os_18</t>
  </si>
  <si>
    <t>iOS 18</t>
  </si>
  <si>
    <t>i_os_26</t>
  </si>
  <si>
    <t>iOS 26</t>
  </si>
  <si>
    <t>mac_os_x_public_beta</t>
  </si>
  <si>
    <t>Mac OS X Public Beta</t>
  </si>
  <si>
    <t>mac_os_x_10_0_cheetah</t>
  </si>
  <si>
    <t>Mac OS X 10.0 Cheetah</t>
  </si>
  <si>
    <t>mac_os_x_10_1_puma</t>
  </si>
  <si>
    <t>Mac OS X 10.1 Puma</t>
  </si>
  <si>
    <t>mac_os_x_10_2_jaguar</t>
  </si>
  <si>
    <t>Mac OS X 10.2 Jaguar</t>
  </si>
  <si>
    <t>mac_os_x_10_3_panther</t>
  </si>
  <si>
    <t>Mac OS X 10.3 Panther</t>
  </si>
  <si>
    <t>mac_os_x_10_4_tiger</t>
  </si>
  <si>
    <t>Mac OS X 10.4 Tiger</t>
  </si>
  <si>
    <t>mac_os_x_10_5_leopard</t>
  </si>
  <si>
    <t>Mac OS X 10.5 Leopard</t>
  </si>
  <si>
    <t>mac_os_x_10_6_snow_leopard</t>
  </si>
  <si>
    <t>Mac OS X 10.6 Snow Leopard</t>
  </si>
  <si>
    <t>mac_os_x_10_7_lion</t>
  </si>
  <si>
    <t>Mac OS X 10.7 Lion</t>
  </si>
  <si>
    <t>os_x_10_8_mountain_lion</t>
  </si>
  <si>
    <t>OS X 10.8 Mountain Lion</t>
  </si>
  <si>
    <t>os_x_10_9_maverick</t>
  </si>
  <si>
    <t>OS X 10.9 Maverick</t>
  </si>
  <si>
    <t>os_x_10_10_yosemite</t>
  </si>
  <si>
    <t>OS X 10.10 Yosemite</t>
  </si>
  <si>
    <t>mac_os_x_10_11_el_capitan</t>
  </si>
  <si>
    <t>Mac OS X 10.11 El Capitan</t>
  </si>
  <si>
    <t>mac_os_10_12_sierra</t>
  </si>
  <si>
    <t>Mac OS 10.12 Sierra</t>
  </si>
  <si>
    <t>macos_10_13_high_sierra</t>
  </si>
  <si>
    <t>Mac OS 10.13 High Sierra</t>
  </si>
  <si>
    <t>macos_10_14_mojave</t>
  </si>
  <si>
    <t>Mac OS 10.14 Mojave</t>
  </si>
  <si>
    <t>macos_10_15_catalina</t>
  </si>
  <si>
    <t>Mac OS 10.15 Catalina</t>
  </si>
  <si>
    <t>macos_11_big_sur</t>
  </si>
  <si>
    <t>Mac OS 11 Big Sur</t>
  </si>
  <si>
    <t>macos_12_monterey</t>
  </si>
  <si>
    <t>Mac OS 12 Monterey</t>
  </si>
  <si>
    <t>macos_13_ventura</t>
  </si>
  <si>
    <t>Mac OS 13 Ventura</t>
  </si>
  <si>
    <t>macos_14_sonoma</t>
  </si>
  <si>
    <t>Mac OS 14 Sonoma</t>
  </si>
  <si>
    <t>macos_15_sequoia</t>
  </si>
  <si>
    <t>Mac OS 15 Sequoia</t>
  </si>
  <si>
    <t>harmony_os_1_0</t>
  </si>
  <si>
    <t>HarmonyOS 1</t>
  </si>
  <si>
    <t>harmony_os_2</t>
  </si>
  <si>
    <t>HarmonyOS 2</t>
  </si>
  <si>
    <t>harmony_os_3</t>
  </si>
  <si>
    <t>HarmonyOS 3</t>
  </si>
  <si>
    <t>harmony_os_3_1</t>
  </si>
  <si>
    <t>HarmonyOS 3.1</t>
  </si>
  <si>
    <t>harmony_os_4</t>
  </si>
  <si>
    <t>HarmonyOS 4</t>
  </si>
  <si>
    <t>harmony_os_4_2</t>
  </si>
  <si>
    <t>HarmonyOS 4.2</t>
  </si>
  <si>
    <t>harmony_os_5</t>
  </si>
  <si>
    <t>Harmony OS 5</t>
  </si>
  <si>
    <t>harmony_os_5_0_1</t>
  </si>
  <si>
    <t>Harmony OS 5.01</t>
  </si>
  <si>
    <t>harmony_os_6</t>
  </si>
  <si>
    <t>Harmony OS 6</t>
  </si>
  <si>
    <t>fire_os_1</t>
  </si>
  <si>
    <t>Fire OS 1</t>
  </si>
  <si>
    <t>fire_os_2</t>
  </si>
  <si>
    <t>Fire OS 2</t>
  </si>
  <si>
    <t>fire_os_3</t>
  </si>
  <si>
    <t>Fire OS 3</t>
  </si>
  <si>
    <t>fire_os_4</t>
  </si>
  <si>
    <t>Fire OS 4</t>
  </si>
  <si>
    <t>fire_os_5</t>
  </si>
  <si>
    <t>Fire OS 5</t>
  </si>
  <si>
    <t>fire_os_6</t>
  </si>
  <si>
    <t>Fire OS 6</t>
  </si>
  <si>
    <t>fire_os_7</t>
  </si>
  <si>
    <t>Fire OS 7</t>
  </si>
  <si>
    <t>fire_os_8</t>
  </si>
  <si>
    <t>Fire OS 8</t>
  </si>
  <si>
    <t>fire_os_vega_yukon</t>
  </si>
  <si>
    <t>Fire OS Vega/Yukon</t>
  </si>
  <si>
    <t>chrome_os_137</t>
  </si>
  <si>
    <t>ChromeOS 137</t>
  </si>
  <si>
    <t>chrome_os_134</t>
  </si>
  <si>
    <t>ChromeOs 134</t>
  </si>
  <si>
    <t>i_pad_os_13</t>
  </si>
  <si>
    <t>iPadOS 13</t>
  </si>
  <si>
    <t>i_pad_os_13_4</t>
  </si>
  <si>
    <t>iPadOS 13.4</t>
  </si>
  <si>
    <t>i_pad_os_14</t>
  </si>
  <si>
    <t>iPadOS 14</t>
  </si>
  <si>
    <t>i_pad_os_15</t>
  </si>
  <si>
    <t>iPadOS 15</t>
  </si>
  <si>
    <t>i_pad_os_16</t>
  </si>
  <si>
    <t>iPadOS 16</t>
  </si>
  <si>
    <t>i_pad_os_17</t>
  </si>
  <si>
    <t>iPadOS 17</t>
  </si>
  <si>
    <t>i_pad_os_18</t>
  </si>
  <si>
    <t>i_pad_os_26</t>
  </si>
  <si>
    <t>iPadOS 26</t>
  </si>
  <si>
    <t>EMUI 1.6</t>
  </si>
  <si>
    <t>emui_2_3</t>
  </si>
  <si>
    <t>EMUI 2.3</t>
  </si>
  <si>
    <t>emui_3_1</t>
  </si>
  <si>
    <t>EMUI 3.1</t>
  </si>
  <si>
    <t>emui_4_1</t>
  </si>
  <si>
    <t>EMUI 4.1</t>
  </si>
  <si>
    <t>emui_5_1</t>
  </si>
  <si>
    <t>EMUI 5.1</t>
  </si>
  <si>
    <t>emui_8_0</t>
  </si>
  <si>
    <t>EMUI 8.0</t>
  </si>
  <si>
    <t>emui_8_2</t>
  </si>
  <si>
    <t>EMUI 8.2</t>
  </si>
  <si>
    <t>emui_9_0</t>
  </si>
  <si>
    <t>EMUI 9.0</t>
  </si>
  <si>
    <t>emui_9_1</t>
  </si>
  <si>
    <t>EMUI 9.1</t>
  </si>
  <si>
    <t>emui_10_0</t>
  </si>
  <si>
    <t>EMUI 10.0</t>
  </si>
  <si>
    <t>emui_11_0</t>
  </si>
  <si>
    <t>EMUI 11.0</t>
  </si>
  <si>
    <t>emui_12_0</t>
  </si>
  <si>
    <t>EMUI 12.0</t>
  </si>
  <si>
    <t>emui_13_1</t>
  </si>
  <si>
    <t>EMUI 13.1</t>
  </si>
  <si>
    <t>emui_14_2</t>
  </si>
  <si>
    <t>EMUI 14.2</t>
  </si>
  <si>
    <t>emui_15_0</t>
  </si>
  <si>
    <t>EMUI 15.0</t>
  </si>
  <si>
    <t>hp_thinpro_8_1</t>
  </si>
  <si>
    <t>HP ThinPro 8.1 </t>
  </si>
  <si>
    <t>hp_thinpro_8_0</t>
  </si>
  <si>
    <t>HP ThinPro 8.0</t>
  </si>
  <si>
    <t>HP ThinPro 7.2</t>
  </si>
  <si>
    <t>HP ThinPro 7.0</t>
  </si>
  <si>
    <t>HP ThinPro 4.4 </t>
  </si>
  <si>
    <t>android_14_0</t>
  </si>
  <si>
    <t>Android 14.0</t>
  </si>
  <si>
    <t>Android 15.0</t>
  </si>
  <si>
    <t>Android 16.0</t>
  </si>
  <si>
    <t>windows_3_0</t>
  </si>
  <si>
    <t>minimum_required_mobile_operating_system_version</t>
  </si>
  <si>
    <t>emui_1_6</t>
  </si>
  <si>
    <t>minimum_required_computer_operating_system_version</t>
  </si>
  <si>
    <t>windows_1_0</t>
  </si>
  <si>
    <t>windows_3_1</t>
  </si>
  <si>
    <t>windows_2_0</t>
  </si>
  <si>
    <t>Minimum Required Operating System Version</t>
  </si>
  <si>
    <t>linux_mint_1</t>
  </si>
  <si>
    <t>linux_mint_2</t>
  </si>
  <si>
    <t>linux_mint_3</t>
  </si>
  <si>
    <t>linux_mint_4</t>
  </si>
  <si>
    <t>linux_mint_5</t>
  </si>
  <si>
    <t>linux_mint_6</t>
  </si>
  <si>
    <t>linux_mint_7</t>
  </si>
  <si>
    <t>linux_mint_8</t>
  </si>
  <si>
    <t>linux_mint_9</t>
  </si>
  <si>
    <t>linux_mint_10</t>
  </si>
  <si>
    <t>linux_mint_11</t>
  </si>
  <si>
    <t>linux_mint_12</t>
  </si>
  <si>
    <t>linux_mint_13</t>
  </si>
  <si>
    <t>linux_mint_14</t>
  </si>
  <si>
    <t>linux_mint_15</t>
  </si>
  <si>
    <t>linux_mint_16</t>
  </si>
  <si>
    <t>linux_mint_17</t>
  </si>
  <si>
    <t>linux_mint_17_1</t>
  </si>
  <si>
    <t>linux_mint_17_2</t>
  </si>
  <si>
    <t>linux_mint_17_3</t>
  </si>
  <si>
    <t>linux_mint_18</t>
  </si>
  <si>
    <t>linux_mint_18_1</t>
  </si>
  <si>
    <t>linux_mint_18_2</t>
  </si>
  <si>
    <t>linux_mint_18_3</t>
  </si>
  <si>
    <t>linux_mint_19</t>
  </si>
  <si>
    <t>linux_mint_19_1</t>
  </si>
  <si>
    <t>linux_mint_19_2</t>
  </si>
  <si>
    <t>linux_mint_19_3</t>
  </si>
  <si>
    <t>linux_mint_20</t>
  </si>
  <si>
    <t>linux_mint_20_1</t>
  </si>
  <si>
    <t>linux_mint_20_2</t>
  </si>
  <si>
    <t>linux_mint_20_3</t>
  </si>
  <si>
    <t>linux_mint_21</t>
  </si>
  <si>
    <t>linux_mint_21_1</t>
  </si>
  <si>
    <t>linux_mint_21_2</t>
  </si>
  <si>
    <t>linux_mint_21_3</t>
  </si>
  <si>
    <t>linux_mint_22</t>
  </si>
  <si>
    <t>manjaro_0_8_0</t>
  </si>
  <si>
    <t>Manjaro 0.8.0 Celtic</t>
  </si>
  <si>
    <t>manjaro_0_8_13</t>
  </si>
  <si>
    <t>Manjaro 0.8.13 Ascella</t>
  </si>
  <si>
    <t>manjaro_15_09</t>
  </si>
  <si>
    <t>Manjaro 15.09 Bellatrix</t>
  </si>
  <si>
    <t>manjaro_15_12</t>
  </si>
  <si>
    <t>Manjaro 15.12 Capella</t>
  </si>
  <si>
    <t>manjaro_16_06</t>
  </si>
  <si>
    <t>Manjaro 16.06 Daniella</t>
  </si>
  <si>
    <t>manjaro_16_08</t>
  </si>
  <si>
    <t>Manjaro 16.08 Ellada</t>
  </si>
  <si>
    <t>manjaro_16_1</t>
  </si>
  <si>
    <t>Manjaro 16.1 Fringilla</t>
  </si>
  <si>
    <t>manjaro_17</t>
  </si>
  <si>
    <t>Manjaro 17 Gellivara</t>
  </si>
  <si>
    <t>manjaro_17_1</t>
  </si>
  <si>
    <t>Manjaro 17.1 Hakoila</t>
  </si>
  <si>
    <t>manjaro_18</t>
  </si>
  <si>
    <t>Manjaro 18 Illyria</t>
  </si>
  <si>
    <t>manjaro_18_1</t>
  </si>
  <si>
    <t>Manjaro 18.1 Juhraya</t>
  </si>
  <si>
    <t>manjaro_18_1_5</t>
  </si>
  <si>
    <t>manjaro_19</t>
  </si>
  <si>
    <t>Manjaro 19 Kyria</t>
  </si>
  <si>
    <t>manjaro_20</t>
  </si>
  <si>
    <t>Manjaro 20 Lysia</t>
  </si>
  <si>
    <t>manjaro_20_1</t>
  </si>
  <si>
    <t>Manjaro 20.1 Mikah</t>
  </si>
  <si>
    <t>manjaro_20_2</t>
  </si>
  <si>
    <t>Manjaro 20.2 Nibia</t>
  </si>
  <si>
    <t>manjaro_20_2_1</t>
  </si>
  <si>
    <t>manjaro_20_2_2</t>
  </si>
  <si>
    <t>manjaro_21</t>
  </si>
  <si>
    <t>Manjaro 21 Ornara</t>
  </si>
  <si>
    <t>manjaro_21_1</t>
  </si>
  <si>
    <t>Manjaro 21.1 Pahvo</t>
  </si>
  <si>
    <t>manjaro_21_2</t>
  </si>
  <si>
    <t>Manjaro 21.2 Qonos</t>
  </si>
  <si>
    <t>manjaro_21_3</t>
  </si>
  <si>
    <t>Manjaro 21.3 Ruah</t>
  </si>
  <si>
    <t>manjaro_22</t>
  </si>
  <si>
    <t>Manjaro 22 Sikaris</t>
  </si>
  <si>
    <t>manjaro_23</t>
  </si>
  <si>
    <t>Manjaro 23 Uranos</t>
  </si>
  <si>
    <t>manjaro_24</t>
  </si>
  <si>
    <t>Manjaro 24 Virgo</t>
  </si>
  <si>
    <t>Linux Mint 1</t>
  </si>
  <si>
    <t>Linux Mint 2</t>
  </si>
  <si>
    <t>Linux Mint 3</t>
  </si>
  <si>
    <t>Linux Mint 4</t>
  </si>
  <si>
    <t>Linux Mint 5</t>
  </si>
  <si>
    <t>Linux Mint 6</t>
  </si>
  <si>
    <t>Linux Mint 7</t>
  </si>
  <si>
    <t>Linux Mint 8</t>
  </si>
  <si>
    <t>Linux Mint 9</t>
  </si>
  <si>
    <t>Linux Mint 10</t>
  </si>
  <si>
    <t>Linux Mint 11</t>
  </si>
  <si>
    <t>Linux Mint 12</t>
  </si>
  <si>
    <t>Linux Mint 13</t>
  </si>
  <si>
    <t>Linux Mint 14</t>
  </si>
  <si>
    <t>Linux Mint 15</t>
  </si>
  <si>
    <t>Linux Mint 16</t>
  </si>
  <si>
    <t>Linux Mint 17</t>
  </si>
  <si>
    <t>Linux Mint 18</t>
  </si>
  <si>
    <t>Linux Mint 19</t>
  </si>
  <si>
    <t>Linux Mint 20</t>
  </si>
  <si>
    <t>Linux Mint 21</t>
  </si>
  <si>
    <t>Linux Mint 22</t>
  </si>
  <si>
    <t>Linux Mint 17.1</t>
  </si>
  <si>
    <t>Linux Mint 17.2</t>
  </si>
  <si>
    <t>Linux Mint 17.3</t>
  </si>
  <si>
    <t>Linux Mint 18.1</t>
  </si>
  <si>
    <t>Linux Mint 18.2</t>
  </si>
  <si>
    <t>Linux Mint 18.3</t>
  </si>
  <si>
    <t>Linux Mint 19.1</t>
  </si>
  <si>
    <t>Linux Mint 19.2</t>
  </si>
  <si>
    <t>Linux Mint 19.3</t>
  </si>
  <si>
    <t>Linux Mint 20.1</t>
  </si>
  <si>
    <t>Linux Mint 20.2</t>
  </si>
  <si>
    <t>Linux Mint 20.3</t>
  </si>
  <si>
    <t>Linux Mint 21.1</t>
  </si>
  <si>
    <t>Linux Mint 21.2</t>
  </si>
  <si>
    <t>Linux Mint 21.3</t>
  </si>
  <si>
    <t>PRINTER</t>
  </si>
  <si>
    <t>SCANNER</t>
  </si>
  <si>
    <t>HEADPHONE_EARPAD</t>
  </si>
  <si>
    <t>WEBCAM</t>
  </si>
  <si>
    <t>COMPUTER_VIDEO_GAME_CONTOLLER</t>
  </si>
  <si>
    <t>INPUT_MOUSE</t>
  </si>
  <si>
    <t>MULTIPORT_HUB</t>
  </si>
  <si>
    <t>INPUT_PEN</t>
  </si>
  <si>
    <t>ELECTRONIC_DEVICE_DOCKING_STATION</t>
  </si>
  <si>
    <t>KEYBOARDS</t>
  </si>
  <si>
    <t>Ranking must be added for each customer relevant attribute.</t>
  </si>
  <si>
    <t>Domain should not be included for Customer Relevant Attribute.</t>
  </si>
  <si>
    <t>hp_thinpro_7_2</t>
  </si>
  <si>
    <t>KEYBOARD_MOUSE_SET</t>
  </si>
  <si>
    <t>CAMERA_DIGITAL</t>
  </si>
  <si>
    <t>NETWORK_INTERFACE_CONTROLLER_ADAPTER</t>
  </si>
  <si>
    <t>WEARABLE_COMPUTER</t>
  </si>
  <si>
    <t>MOBILE_APPLICATION</t>
  </si>
  <si>
    <t>21/07/2025</t>
  </si>
  <si>
    <r>
      <t>The attribute "</t>
    </r>
    <r>
      <rPr>
        <b/>
        <sz val="11"/>
        <color theme="1"/>
        <rFont val="Calibri"/>
        <family val="2"/>
        <scheme val="minor"/>
      </rPr>
      <t>minimum_required_operating_system_version</t>
    </r>
    <r>
      <rPr>
        <sz val="11"/>
        <color theme="1"/>
        <rFont val="Calibri"/>
        <family val="2"/>
        <scheme val="minor"/>
      </rPr>
      <t>" specifies the earliest version of an operating system that is compatible with a given software application or hardware device. While an existing attribute named "</t>
    </r>
    <r>
      <rPr>
        <b/>
        <sz val="11"/>
        <color theme="1"/>
        <rFont val="Calibri"/>
        <family val="2"/>
        <scheme val="minor"/>
      </rPr>
      <t>min_operating_system_version_required</t>
    </r>
    <r>
      <rPr>
        <sz val="11"/>
        <color theme="1"/>
        <rFont val="Calibri"/>
        <family val="2"/>
        <scheme val="minor"/>
      </rPr>
      <t xml:space="preserve">" already exists, it uses an open enum set, making it unsuitable for the intended </t>
    </r>
    <r>
      <rPr>
        <b/>
        <sz val="11"/>
        <color theme="1"/>
        <rFont val="Calibri"/>
        <family val="2"/>
        <scheme val="minor"/>
      </rPr>
      <t xml:space="preserve">compatibility matching </t>
    </r>
    <r>
      <rPr>
        <sz val="11"/>
        <color theme="1"/>
        <rFont val="Calibri"/>
        <family val="2"/>
        <scheme val="minor"/>
      </rPr>
      <t>use case, which requires a fixed (closed) set of enumerated values. Therefore, a new attribute is needed to support this requirement.</t>
    </r>
  </si>
  <si>
    <t>The existing attribute, min_operating_system_version_required, is not suitable for the compatibility program because it relies on an open enumeration set. This approach lacks the precision, standardization, and control required for reliable compatibility matching and therefore cannot be used within the program.
To overcome these limitations, a new attribute needs to be introduced with the following key characteristics:
Closed set of predefined enumeration values, ensuring standardized and validated inputs
Structured format that supports clear comparison across operating system versions, including both numeric and non-numeric identifiers
Scalability to incorporate new OS releases while preserving backward compatibility
Seamless integration with the compatibility program's matching logic and algorithms
This new attribute will support more accurate and consistent compatibility assessments between accessories (e.g., graphic tablets) and base devices (e.g., personal computers), while also enabling a future-ready solution for evolving OS version requirements.</t>
  </si>
  <si>
    <t>hp_thinpro_7_0</t>
  </si>
  <si>
    <t>hp_thinpro_4_4</t>
  </si>
  <si>
    <t>android_1_5_cupcake</t>
  </si>
  <si>
    <t>EnumerationValue(Required)</t>
  </si>
  <si>
    <t>android3_0_honeycomb</t>
  </si>
  <si>
    <t>android3_1_honeycomb</t>
  </si>
  <si>
    <t>android_12_l</t>
  </si>
  <si>
    <t>ubuntu_4_10</t>
  </si>
  <si>
    <t>ubuntu_6_06</t>
  </si>
  <si>
    <t>ubuntu_8_04</t>
  </si>
  <si>
    <t>ubuntu_10_04</t>
  </si>
  <si>
    <t>ubuntu_12_04</t>
  </si>
  <si>
    <t>ubuntu_14_04</t>
  </si>
  <si>
    <t>ubuntu_16_04</t>
  </si>
  <si>
    <t>ubuntu_18_04</t>
  </si>
  <si>
    <t>ubuntu_20_04</t>
  </si>
  <si>
    <t>ubuntu_22_04</t>
  </si>
  <si>
    <t>ubuntu_24_04</t>
  </si>
  <si>
    <t>debian_1_1</t>
  </si>
  <si>
    <t>debian_2_0</t>
  </si>
  <si>
    <t>debian_3_0</t>
  </si>
  <si>
    <t>debian_4_0</t>
  </si>
  <si>
    <t>debian_5_0</t>
  </si>
  <si>
    <t>debian_6_0</t>
  </si>
  <si>
    <t>debian_7_0</t>
  </si>
  <si>
    <t>debian_8_0</t>
  </si>
  <si>
    <t>debian_9_0</t>
  </si>
  <si>
    <t>debian_10_0</t>
  </si>
  <si>
    <t>debian_11_0</t>
  </si>
  <si>
    <t>debian_12_0</t>
  </si>
  <si>
    <t>fedora_1</t>
  </si>
  <si>
    <t>fedora_2</t>
  </si>
  <si>
    <t>fedora_3</t>
  </si>
  <si>
    <t>fedora_4</t>
  </si>
  <si>
    <t>fedora_5</t>
  </si>
  <si>
    <t>fedora_6</t>
  </si>
  <si>
    <t>fedora_7</t>
  </si>
  <si>
    <t>fedora_8</t>
  </si>
  <si>
    <t>fedora_9</t>
  </si>
  <si>
    <t>fedora_10</t>
  </si>
  <si>
    <t>fedora_11</t>
  </si>
  <si>
    <t>fedora_12</t>
  </si>
  <si>
    <t>fedora_13</t>
  </si>
  <si>
    <t>fedora_14</t>
  </si>
  <si>
    <t>fedora_15</t>
  </si>
  <si>
    <t>fedora_16</t>
  </si>
  <si>
    <t>fedora_17</t>
  </si>
  <si>
    <t>fedora_18</t>
  </si>
  <si>
    <t>fedora_19</t>
  </si>
  <si>
    <t>fedora_20</t>
  </si>
  <si>
    <t>fedora_21</t>
  </si>
  <si>
    <t>fedora_22</t>
  </si>
  <si>
    <t>fedora_23</t>
  </si>
  <si>
    <t>fedora_24</t>
  </si>
  <si>
    <t>fedora_25</t>
  </si>
  <si>
    <t>fedora_26</t>
  </si>
  <si>
    <t>fedora_27</t>
  </si>
  <si>
    <t>fedora_28</t>
  </si>
  <si>
    <t>fedora_29</t>
  </si>
  <si>
    <t>fedora_30</t>
  </si>
  <si>
    <t>fedora_31</t>
  </si>
  <si>
    <t>fedora_32</t>
  </si>
  <si>
    <t>fedora_33</t>
  </si>
  <si>
    <t>fedora_34</t>
  </si>
  <si>
    <t>fedora_35</t>
  </si>
  <si>
    <t>fedora_36</t>
  </si>
  <si>
    <t>fedora_37</t>
  </si>
  <si>
    <t>fedora_38</t>
  </si>
  <si>
    <t>fedora_39</t>
  </si>
  <si>
    <t>fedora_40</t>
  </si>
  <si>
    <t>Manjaro 18.1.5</t>
  </si>
  <si>
    <t>Manjaro 20.2.1</t>
  </si>
  <si>
    <t>Manjaro 20.2.2</t>
  </si>
  <si>
    <t>Ubuntu 4.10 Warty Warthog</t>
  </si>
  <si>
    <t>Ubuntu 6.06 Dapper Drake</t>
  </si>
  <si>
    <t>Ubuntu 8.04 Hardy Heron</t>
  </si>
  <si>
    <t>Ubuntu 10.04 Lucid Lynx</t>
  </si>
  <si>
    <t>Ubuntu 12.04 Precise Pangolin</t>
  </si>
  <si>
    <t>Ubuntu 14.04 Trusty Tahr</t>
  </si>
  <si>
    <t>Ubuntu 16.04 Xenial Xerus</t>
  </si>
  <si>
    <t>Ubuntu 18.04 Bionic Beaver</t>
  </si>
  <si>
    <t>Ubuntu 20.04 Focal Fossa</t>
  </si>
  <si>
    <t>Ubuntu 22.04 Jammy Jellyfish</t>
  </si>
  <si>
    <t>Ubuntu 24.04 Noble Numbat</t>
  </si>
  <si>
    <t>Debian 1.1 Buzz</t>
  </si>
  <si>
    <t>Debian 2.0 Hamm</t>
  </si>
  <si>
    <t>Debian 3.0 Woody</t>
  </si>
  <si>
    <t>Debian 4.0 Etch</t>
  </si>
  <si>
    <t>Debian 5.0 Lenny</t>
  </si>
  <si>
    <t>Debian 6.0 Squeeze</t>
  </si>
  <si>
    <t>Debian 7.0 Wheezy</t>
  </si>
  <si>
    <t>Debian 8.0 Jessie</t>
  </si>
  <si>
    <t>Debian 9.0 Stretch</t>
  </si>
  <si>
    <t>Debian 10.0 Buster</t>
  </si>
  <si>
    <t>Debian 11.0 Bullseye</t>
  </si>
  <si>
    <t>Debian 12.0 Bookworm</t>
  </si>
  <si>
    <t>Fedora 1</t>
  </si>
  <si>
    <t>Fedora 2</t>
  </si>
  <si>
    <t>Fedora 3</t>
  </si>
  <si>
    <t>Fedora 4</t>
  </si>
  <si>
    <t>Fedora 5</t>
  </si>
  <si>
    <t>Fedora 6</t>
  </si>
  <si>
    <t>Fedora 7</t>
  </si>
  <si>
    <t>Fedora 8</t>
  </si>
  <si>
    <t>Fedora 9</t>
  </si>
  <si>
    <t>Fedora 10</t>
  </si>
  <si>
    <t>Fedora 11</t>
  </si>
  <si>
    <t>Fedora 12</t>
  </si>
  <si>
    <t>Fedora 13</t>
  </si>
  <si>
    <t>Fedora 14</t>
  </si>
  <si>
    <t>Fedora 15</t>
  </si>
  <si>
    <t>Fedora 16</t>
  </si>
  <si>
    <t>Fedora 17</t>
  </si>
  <si>
    <t>Fedora 18</t>
  </si>
  <si>
    <t>Fedora 19</t>
  </si>
  <si>
    <t>Fedora 20</t>
  </si>
  <si>
    <t>Fedora 21</t>
  </si>
  <si>
    <t>Fedora 22</t>
  </si>
  <si>
    <t>Fedora 23</t>
  </si>
  <si>
    <t>Fedora 24</t>
  </si>
  <si>
    <t>Fedora 25</t>
  </si>
  <si>
    <t>Fedora 26</t>
  </si>
  <si>
    <t>Fedora 27</t>
  </si>
  <si>
    <t>Fedora 28</t>
  </si>
  <si>
    <t>Fedora 29</t>
  </si>
  <si>
    <t>Fedora 30</t>
  </si>
  <si>
    <t>Fedora 31</t>
  </si>
  <si>
    <t>Fedora 32</t>
  </si>
  <si>
    <t>Fedora 33</t>
  </si>
  <si>
    <t>Fedora 34</t>
  </si>
  <si>
    <t>Fedora 35</t>
  </si>
  <si>
    <t>Fedora 36</t>
  </si>
  <si>
    <t>Fedora 37</t>
  </si>
  <si>
    <t>Fedora 38</t>
  </si>
  <si>
    <t>Fedora 39</t>
  </si>
  <si>
    <t>Fedora 40</t>
  </si>
  <si>
    <t>VIDEO_CARD</t>
  </si>
  <si>
    <t>Provide the minimum operating system version that the base product must have for the accessory product to function properly.</t>
  </si>
  <si>
    <t>24/07/2025</t>
  </si>
  <si>
    <t>The minimum required operating system version designates the earliest software version that the base product must have for the accessory product to operate as intended. This may include compatibility with specific operating system features, security requirements, or hardware dependencies. Base product operating system versions below the minimum requirement may result in limited or no functionality.</t>
  </si>
  <si>
    <t>"Internal", "Sellers", and/or "Vendors"</t>
  </si>
  <si>
    <t>28/07/2025</t>
  </si>
  <si>
    <t>29/07/2025</t>
  </si>
  <si>
    <t>Attribute with simple datatype requires value variant to be visible and editable.</t>
  </si>
  <si>
    <t>30/07/2025</t>
  </si>
  <si>
    <t>If Is Refinement Candidate = True then refinement eligible or refinement partially eligible attribute class must be added on Cust Rel Requirements Tab.</t>
  </si>
  <si>
    <t>Sixth Version- Addressed Reviewer's comment (@betsyf) - Betsy noted that in the Constraint tab (rows 4–10), "enumeration" should be changed to "soft_enumeration" and confirmed the errors are false positives.</t>
  </si>
  <si>
    <t>Fifth Version - Addressed Reviewer's comment (@betsyf) - Betsy flagged that soft enumerations are missing for computer/mobile OS constraints, CCP Variant Path should be set to "value", and Cust Rel tab needs refinement eligibility and no mandatory ranking per PT.</t>
  </si>
  <si>
    <t>Fourth Version -  Addressed Reviewer's comment (@ianol) - Ian confirmed everything looks good, with an open question to Betsy on whether setting an attribute class to customer relevant requires both ranking for each PT|attribute pair and a refinement eligibility class.</t>
  </si>
  <si>
    <t>Third Version - Addressed Reviewer's comment (@ianol) Betsy confirmed the attribute should be visible to customers, so set “Is Attribute Visible to Customer” to TRUE, update Attribute Properties tab with Variant Path = value, Property Value = visible_editable, Contributor Type = Contributor, and refer to the linked guidelines and dashboards for setting ranks.</t>
  </si>
  <si>
    <t>Second Version - Addressed Reviewer's comments (@betsyf and @ianol) Betsy and Ian emphasized aligning enum values across OS sets, applying PT-level soft constraints, ensuring visibility to customers and sellers, updating Attribute and Display Properties tabs accordingly, and making the PRODUCT enum a superset of all PT-specific values.</t>
  </si>
  <si>
    <t>31/07/2025</t>
  </si>
  <si>
    <t>Seventh Version - Is Attribute Visible to Customer? Set to TRUE (ians comment)</t>
  </si>
  <si>
    <t>Just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</si>
</sst>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9"/>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
      <sz val="12"/>
      <name val="Calibri"/>
      <family val="2"/>
      <scheme val="minor"/>
    </font>
    <font>
      <b/>
      <u/>
      <sz val="11"/>
      <color theme="1"/>
      <name val="Calibri"/>
      <family val="2"/>
      <scheme val="minor"/>
    </font>
    <font>
      <sz val="10"/>
      <color theme="1"/>
      <name val="Calibri"/>
      <family val="2"/>
      <scheme val="minor"/>
    </font>
    <font>
      <sz val="15.4"/>
      <color rgb="FF363636"/>
      <name val="Segoe UI Light"/>
      <family val="2"/>
    </font>
    <font>
      <u/>
      <sz val="10"/>
      <color theme="10"/>
      <name val="Calibri"/>
      <family val="2"/>
      <scheme val="minor"/>
    </font>
    <font>
      <sz val="10"/>
      <color rgb="FF444444"/>
      <name val="Calibri"/>
      <family val="2"/>
      <scheme val="minor"/>
    </font>
    <font>
      <sz val="9"/>
      <color rgb="FF000000"/>
      <name val="Calibri"/>
      <family val="2"/>
      <scheme val="minor"/>
    </font>
    <font>
      <sz val="9"/>
      <color rgb="FF444444"/>
      <name val="Tahoma"/>
      <family val="2"/>
    </font>
    <font>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0"/>
      <name val="Calibri"/>
      <family val="2"/>
      <scheme val="minor"/>
    </font>
    <font>
      <b/>
      <sz val="9"/>
      <color theme="1"/>
      <name val="Calibri"/>
      <family val="2"/>
      <scheme val="minor"/>
    </font>
    <font>
      <sz val="11"/>
      <color rgb="FF000000"/>
      <name val="Calibri"/>
      <family val="2"/>
    </font>
    <font>
      <b/>
      <sz val="9"/>
      <color theme="0"/>
      <name val="Calibri"/>
      <family val="2"/>
      <scheme val="minor"/>
    </font>
    <font>
      <sz val="12"/>
      <color rgb="FF333333"/>
      <name val="Calibri"/>
      <family val="2"/>
      <scheme val="minor"/>
    </font>
    <font>
      <sz val="8"/>
      <name val="Calibri"/>
      <family val="2"/>
      <scheme val="minor"/>
    </font>
    <font>
      <sz val="11"/>
      <color rgb="FF333333"/>
      <name val="Calibri"/>
      <family val="2"/>
      <scheme val="minor"/>
    </font>
    <font>
      <sz val="10"/>
      <color rgb="FF000000"/>
      <name val="Tahoma"/>
      <family val="2"/>
    </font>
    <font>
      <b/>
      <sz val="10"/>
      <color rgb="FF000000"/>
      <name val="Tahoma"/>
      <family val="2"/>
    </font>
  </fonts>
  <fills count="11">
    <fill>
      <patternFill patternType="none"/>
    </fill>
    <fill>
      <patternFill patternType="gray125"/>
    </fill>
    <fill>
      <patternFill patternType="solid">
        <fgColor rgb="FFFFFFFF"/>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rgb="FFE7E6E6"/>
        <bgColor indexed="64"/>
      </patternFill>
    </fill>
    <fill>
      <patternFill patternType="solid">
        <fgColor theme="4" tint="0.79998168889431442"/>
        <bgColor theme="4" tint="0.79998168889431442"/>
      </patternFill>
    </fill>
    <fill>
      <patternFill patternType="solid">
        <fgColor rgb="FFFF0000"/>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DDDAC0"/>
      </left>
      <right style="medium">
        <color rgb="FFDDDAC0"/>
      </right>
      <top style="medium">
        <color rgb="FFDDDAC0"/>
      </top>
      <bottom style="medium">
        <color rgb="FFDDDAC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double">
        <color theme="4"/>
      </top>
      <bottom style="thin">
        <color theme="4" tint="0.39997558519241921"/>
      </bottom>
      <diagonal/>
    </border>
    <border>
      <left/>
      <right/>
      <top style="double">
        <color theme="4"/>
      </top>
      <bottom style="thin">
        <color theme="4" tint="0.39997558519241921"/>
      </bottom>
      <diagonal/>
    </border>
    <border>
      <left style="thin">
        <color auto="1"/>
      </left>
      <right style="thin">
        <color auto="1"/>
      </right>
      <top style="thin">
        <color auto="1"/>
      </top>
      <bottom style="medium">
        <color indexed="64"/>
      </bottom>
      <diagonal/>
    </border>
    <border>
      <left style="thin">
        <color theme="4" tint="0.39997558519241921"/>
      </left>
      <right style="thin">
        <color theme="4" tint="0.39997558519241921"/>
      </right>
      <top style="double">
        <color theme="4"/>
      </top>
      <bottom style="thin">
        <color theme="4" tint="0.3999755851924192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double">
        <color theme="4"/>
      </top>
      <bottom/>
      <diagonal/>
    </border>
    <border>
      <left style="thin">
        <color theme="4" tint="0.39997558519241921"/>
      </left>
      <right/>
      <top style="double">
        <color theme="4"/>
      </top>
      <bottom style="thin">
        <color theme="4" tint="0.39997558519241921"/>
      </bottom>
      <diagonal/>
    </border>
    <border>
      <left/>
      <right/>
      <top/>
      <bottom style="thin">
        <color indexed="64"/>
      </bottom>
      <diagonal/>
    </border>
    <border>
      <left/>
      <right/>
      <top style="thin">
        <color auto="1"/>
      </top>
      <bottom style="thin">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179">
    <xf numFmtId="0" fontId="0" fillId="0" borderId="0" xfId="0"/>
    <xf numFmtId="0" fontId="2" fillId="0" borderId="6" xfId="1" applyBorder="1"/>
    <xf numFmtId="0" fontId="0" fillId="0" borderId="6" xfId="0" applyBorder="1"/>
    <xf numFmtId="0" fontId="0" fillId="0" borderId="7" xfId="0" applyBorder="1"/>
    <xf numFmtId="0" fontId="3" fillId="3" borderId="1" xfId="0" applyFont="1" applyFill="1" applyBorder="1"/>
    <xf numFmtId="0" fontId="3" fillId="3" borderId="3" xfId="0" applyFont="1" applyFill="1" applyBorder="1" applyAlignment="1">
      <alignment vertical="center" wrapText="1"/>
    </xf>
    <xf numFmtId="0" fontId="5" fillId="0" borderId="6" xfId="0" applyFont="1" applyBorder="1"/>
    <xf numFmtId="0" fontId="3" fillId="3" borderId="6" xfId="0" applyFont="1" applyFill="1" applyBorder="1" applyAlignment="1">
      <alignment vertical="center" wrapText="1"/>
    </xf>
    <xf numFmtId="0" fontId="3" fillId="3" borderId="15" xfId="0" applyFont="1" applyFill="1" applyBorder="1" applyAlignment="1">
      <alignment vertical="center" wrapText="1"/>
    </xf>
    <xf numFmtId="0" fontId="8" fillId="0" borderId="0" xfId="0" applyFont="1"/>
    <xf numFmtId="0" fontId="3" fillId="4" borderId="6" xfId="0" applyFont="1" applyFill="1" applyBorder="1"/>
    <xf numFmtId="0" fontId="3" fillId="4" borderId="6" xfId="0" applyFont="1" applyFill="1" applyBorder="1" applyAlignment="1">
      <alignment wrapText="1"/>
    </xf>
    <xf numFmtId="0" fontId="3" fillId="3" borderId="1" xfId="0" applyFont="1" applyFill="1" applyBorder="1" applyAlignment="1">
      <alignment vertical="top"/>
    </xf>
    <xf numFmtId="0" fontId="7" fillId="0" borderId="6" xfId="0" applyFont="1" applyBorder="1"/>
    <xf numFmtId="0" fontId="9" fillId="0" borderId="6" xfId="1" applyFont="1" applyBorder="1"/>
    <xf numFmtId="0" fontId="10" fillId="2" borderId="6" xfId="0" applyFont="1" applyFill="1" applyBorder="1" applyAlignment="1">
      <alignment vertical="center" wrapText="1"/>
    </xf>
    <xf numFmtId="0" fontId="0" fillId="3" borderId="15" xfId="0" applyFill="1" applyBorder="1"/>
    <xf numFmtId="14" fontId="0" fillId="0" borderId="6" xfId="0" applyNumberFormat="1" applyBorder="1"/>
    <xf numFmtId="0" fontId="4" fillId="3" borderId="15" xfId="0" applyFont="1" applyFill="1" applyBorder="1"/>
    <xf numFmtId="0" fontId="1" fillId="0" borderId="0" xfId="0" applyFont="1" applyAlignment="1">
      <alignment wrapText="1"/>
    </xf>
    <xf numFmtId="0" fontId="11" fillId="0" borderId="8" xfId="0" applyFont="1" applyBorder="1" applyAlignment="1">
      <alignment vertical="center" wrapText="1"/>
    </xf>
    <xf numFmtId="0" fontId="1" fillId="0" borderId="0" xfId="0" applyFont="1"/>
    <xf numFmtId="0" fontId="12" fillId="2" borderId="6" xfId="0" applyFont="1" applyFill="1" applyBorder="1" applyAlignment="1">
      <alignment vertical="center" wrapText="1"/>
    </xf>
    <xf numFmtId="0" fontId="1" fillId="0" borderId="0" xfId="0" quotePrefix="1" applyFont="1"/>
    <xf numFmtId="0" fontId="4" fillId="0" borderId="0" xfId="0" applyFont="1"/>
    <xf numFmtId="0" fontId="14" fillId="0" borderId="0" xfId="0" applyFont="1"/>
    <xf numFmtId="0" fontId="0" fillId="6" borderId="2" xfId="0" applyFill="1" applyBorder="1"/>
    <xf numFmtId="0" fontId="0" fillId="7" borderId="6" xfId="0" applyFill="1" applyBorder="1" applyAlignment="1">
      <alignment wrapText="1"/>
    </xf>
    <xf numFmtId="0" fontId="3" fillId="3" borderId="17" xfId="0" applyFont="1" applyFill="1" applyBorder="1" applyAlignment="1">
      <alignment vertical="center" wrapText="1"/>
    </xf>
    <xf numFmtId="0" fontId="3" fillId="3" borderId="21" xfId="0" applyFont="1" applyFill="1" applyBorder="1" applyAlignment="1">
      <alignment vertical="center" wrapText="1"/>
    </xf>
    <xf numFmtId="0" fontId="0" fillId="7" borderId="11" xfId="0" applyFill="1" applyBorder="1" applyAlignment="1">
      <alignment wrapText="1"/>
    </xf>
    <xf numFmtId="0" fontId="3" fillId="4" borderId="21" xfId="0" applyFont="1" applyFill="1" applyBorder="1" applyAlignment="1">
      <alignment wrapText="1"/>
    </xf>
    <xf numFmtId="0" fontId="0" fillId="7" borderId="4" xfId="0" applyFill="1" applyBorder="1"/>
    <xf numFmtId="0" fontId="0" fillId="7" borderId="6" xfId="0" applyFill="1" applyBorder="1"/>
    <xf numFmtId="0" fontId="3" fillId="0" borderId="0" xfId="0" applyFont="1"/>
    <xf numFmtId="0" fontId="0" fillId="0" borderId="6" xfId="0" applyBorder="1" applyAlignment="1">
      <alignment wrapText="1"/>
    </xf>
    <xf numFmtId="0" fontId="13" fillId="7" borderId="6" xfId="0" applyFont="1" applyFill="1" applyBorder="1" applyAlignment="1">
      <alignment wrapText="1"/>
    </xf>
    <xf numFmtId="0" fontId="0" fillId="7" borderId="17" xfId="0" applyFill="1" applyBorder="1" applyAlignment="1">
      <alignment wrapText="1"/>
    </xf>
    <xf numFmtId="0" fontId="3" fillId="4" borderId="15" xfId="0" applyFont="1" applyFill="1" applyBorder="1" applyAlignment="1">
      <alignment wrapText="1"/>
    </xf>
    <xf numFmtId="0" fontId="3" fillId="4" borderId="22" xfId="0" applyFont="1" applyFill="1" applyBorder="1" applyAlignment="1">
      <alignment wrapText="1"/>
    </xf>
    <xf numFmtId="0" fontId="3" fillId="8" borderId="6" xfId="0" applyFont="1" applyFill="1" applyBorder="1"/>
    <xf numFmtId="0" fontId="0" fillId="7" borderId="1" xfId="0" applyFill="1" applyBorder="1" applyAlignment="1">
      <alignment wrapText="1"/>
    </xf>
    <xf numFmtId="0" fontId="16" fillId="3" borderId="15" xfId="0" applyFont="1" applyFill="1" applyBorder="1" applyAlignment="1">
      <alignment vertical="center" wrapText="1"/>
    </xf>
    <xf numFmtId="0" fontId="7" fillId="0" borderId="0" xfId="0" applyFont="1"/>
    <xf numFmtId="0" fontId="17" fillId="0" borderId="0" xfId="0" applyFont="1" applyAlignment="1" applyProtection="1">
      <alignment vertical="top" wrapText="1"/>
      <protection locked="0"/>
    </xf>
    <xf numFmtId="0" fontId="1" fillId="9" borderId="26" xfId="0" applyFont="1" applyFill="1" applyBorder="1" applyAlignment="1">
      <alignment wrapText="1"/>
    </xf>
    <xf numFmtId="0" fontId="1" fillId="4" borderId="0" xfId="0" applyFont="1" applyFill="1"/>
    <xf numFmtId="0" fontId="0" fillId="2" borderId="6" xfId="0" applyFill="1" applyBorder="1"/>
    <xf numFmtId="0" fontId="0" fillId="2" borderId="6" xfId="0" applyFill="1" applyBorder="1" applyAlignment="1">
      <alignment wrapText="1"/>
    </xf>
    <xf numFmtId="0" fontId="13" fillId="7" borderId="0" xfId="0" applyFont="1" applyFill="1"/>
    <xf numFmtId="0" fontId="0" fillId="0" borderId="0" xfId="0" quotePrefix="1"/>
    <xf numFmtId="0" fontId="0" fillId="2" borderId="17" xfId="0" applyFill="1" applyBorder="1" applyAlignment="1">
      <alignment wrapText="1"/>
    </xf>
    <xf numFmtId="0" fontId="1" fillId="0" borderId="28" xfId="0" applyFont="1" applyBorder="1" applyAlignment="1">
      <alignment wrapText="1"/>
    </xf>
    <xf numFmtId="0" fontId="1" fillId="7" borderId="6" xfId="0" applyFont="1" applyFill="1" applyBorder="1" applyAlignment="1">
      <alignment wrapText="1"/>
    </xf>
    <xf numFmtId="0" fontId="7" fillId="0" borderId="4" xfId="0" applyFont="1" applyBorder="1" applyAlignment="1">
      <alignment vertical="center" wrapText="1"/>
    </xf>
    <xf numFmtId="0" fontId="7" fillId="0" borderId="16" xfId="0" applyFont="1" applyBorder="1" applyAlignment="1">
      <alignment vertical="center" wrapText="1"/>
    </xf>
    <xf numFmtId="0" fontId="0" fillId="0" borderId="2" xfId="0" applyBorder="1"/>
    <xf numFmtId="0" fontId="0" fillId="0" borderId="11" xfId="0" applyBorder="1"/>
    <xf numFmtId="0" fontId="7" fillId="0" borderId="0" xfId="0" applyFont="1" applyAlignment="1">
      <alignment vertical="center" wrapText="1"/>
    </xf>
    <xf numFmtId="0" fontId="3" fillId="4" borderId="29" xfId="0" applyFont="1" applyFill="1" applyBorder="1" applyAlignment="1">
      <alignment wrapText="1"/>
    </xf>
    <xf numFmtId="0" fontId="18" fillId="0" borderId="30" xfId="0" applyFont="1" applyBorder="1" applyAlignment="1">
      <alignment wrapText="1"/>
    </xf>
    <xf numFmtId="0" fontId="3" fillId="3" borderId="6" xfId="0" applyFont="1" applyFill="1" applyBorder="1" applyAlignment="1">
      <alignment horizontal="center" vertical="top"/>
    </xf>
    <xf numFmtId="0" fontId="3" fillId="3" borderId="6" xfId="0" applyFont="1" applyFill="1" applyBorder="1" applyAlignment="1">
      <alignment horizontal="center" vertical="top" wrapText="1"/>
    </xf>
    <xf numFmtId="0" fontId="0" fillId="4" borderId="6" xfId="0" applyFill="1" applyBorder="1"/>
    <xf numFmtId="0" fontId="3" fillId="4" borderId="17" xfId="0" applyFont="1" applyFill="1" applyBorder="1" applyAlignment="1">
      <alignment wrapText="1"/>
    </xf>
    <xf numFmtId="0" fontId="0" fillId="2" borderId="22" xfId="0" applyFill="1" applyBorder="1"/>
    <xf numFmtId="0" fontId="0" fillId="2" borderId="0" xfId="0" applyFill="1"/>
    <xf numFmtId="0" fontId="2" fillId="0" borderId="0" xfId="1"/>
    <xf numFmtId="0" fontId="3" fillId="0" borderId="28" xfId="0" applyFont="1" applyBorder="1"/>
    <xf numFmtId="0" fontId="20" fillId="4" borderId="32" xfId="0" applyFont="1" applyFill="1" applyBorder="1"/>
    <xf numFmtId="0" fontId="20" fillId="4" borderId="33" xfId="0" applyFont="1" applyFill="1" applyBorder="1"/>
    <xf numFmtId="0" fontId="20" fillId="4" borderId="34" xfId="0" applyFont="1" applyFill="1" applyBorder="1"/>
    <xf numFmtId="0" fontId="0" fillId="9" borderId="32" xfId="0" applyFill="1" applyBorder="1"/>
    <xf numFmtId="0" fontId="0" fillId="9" borderId="33" xfId="0" applyFill="1" applyBorder="1"/>
    <xf numFmtId="0" fontId="1" fillId="9" borderId="33" xfId="0" applyFont="1" applyFill="1" applyBorder="1" applyAlignment="1">
      <alignment wrapText="1"/>
    </xf>
    <xf numFmtId="0" fontId="0" fillId="9" borderId="34" xfId="0" applyFill="1" applyBorder="1"/>
    <xf numFmtId="0" fontId="0" fillId="0" borderId="32" xfId="0" applyBorder="1"/>
    <xf numFmtId="0" fontId="0" fillId="0" borderId="33" xfId="0" applyBorder="1"/>
    <xf numFmtId="0" fontId="1" fillId="0" borderId="33" xfId="0" applyFont="1" applyBorder="1" applyAlignment="1">
      <alignment wrapText="1"/>
    </xf>
    <xf numFmtId="0" fontId="0" fillId="0" borderId="34" xfId="0" applyBorder="1"/>
    <xf numFmtId="0" fontId="0" fillId="9" borderId="35" xfId="0" applyFill="1" applyBorder="1"/>
    <xf numFmtId="0" fontId="1" fillId="9" borderId="32" xfId="0" applyFont="1" applyFill="1" applyBorder="1" applyAlignment="1">
      <alignment wrapText="1"/>
    </xf>
    <xf numFmtId="0" fontId="3" fillId="0" borderId="33" xfId="0" applyFont="1" applyBorder="1"/>
    <xf numFmtId="0" fontId="3" fillId="0" borderId="36" xfId="0" applyFont="1" applyBorder="1"/>
    <xf numFmtId="0" fontId="18" fillId="0" borderId="28" xfId="0" applyFont="1" applyBorder="1" applyAlignment="1">
      <alignment wrapText="1"/>
    </xf>
    <xf numFmtId="0" fontId="0" fillId="0" borderId="27" xfId="0" applyBorder="1"/>
    <xf numFmtId="0" fontId="3" fillId="2" borderId="6" xfId="0" applyFont="1" applyFill="1" applyBorder="1" applyAlignment="1">
      <alignment vertical="center" wrapText="1"/>
    </xf>
    <xf numFmtId="0" fontId="20" fillId="4" borderId="0" xfId="0" applyFont="1" applyFill="1"/>
    <xf numFmtId="0" fontId="0" fillId="9" borderId="0" xfId="0" applyFill="1"/>
    <xf numFmtId="0" fontId="0" fillId="9" borderId="0" xfId="0" quotePrefix="1" applyFill="1"/>
    <xf numFmtId="0" fontId="21" fillId="0" borderId="0" xfId="0" applyFont="1" applyAlignment="1">
      <alignment vertical="center"/>
    </xf>
    <xf numFmtId="0" fontId="0" fillId="0" borderId="38" xfId="0" applyBorder="1" applyAlignment="1">
      <alignment horizontal="left" wrapText="1"/>
    </xf>
    <xf numFmtId="0" fontId="0" fillId="0" borderId="0" xfId="0" applyAlignment="1">
      <alignment wrapText="1"/>
    </xf>
    <xf numFmtId="0" fontId="0" fillId="0" borderId="39" xfId="0" applyBorder="1"/>
    <xf numFmtId="0" fontId="2" fillId="9" borderId="39" xfId="1" applyFill="1" applyBorder="1"/>
    <xf numFmtId="0" fontId="1" fillId="0" borderId="39" xfId="0" applyFont="1" applyBorder="1"/>
    <xf numFmtId="0" fontId="1" fillId="9" borderId="39" xfId="0" applyFont="1" applyFill="1" applyBorder="1"/>
    <xf numFmtId="0" fontId="2" fillId="0" borderId="18" xfId="1" applyFill="1" applyBorder="1"/>
    <xf numFmtId="0" fontId="1" fillId="0" borderId="0" xfId="1" applyFont="1"/>
    <xf numFmtId="0" fontId="1" fillId="0" borderId="26" xfId="0" applyFont="1" applyBorder="1" applyAlignment="1">
      <alignment wrapText="1"/>
    </xf>
    <xf numFmtId="0" fontId="3" fillId="0" borderId="6" xfId="0" applyFont="1" applyBorder="1"/>
    <xf numFmtId="0" fontId="2" fillId="0" borderId="0" xfId="1" applyAlignment="1">
      <alignment wrapText="1"/>
    </xf>
    <xf numFmtId="0" fontId="2" fillId="0" borderId="39" xfId="1" applyBorder="1"/>
    <xf numFmtId="0" fontId="2" fillId="0" borderId="39" xfId="1" applyBorder="1" applyAlignment="1">
      <alignment wrapText="1"/>
    </xf>
    <xf numFmtId="0" fontId="0" fillId="10" borderId="6" xfId="0" applyFill="1" applyBorder="1"/>
    <xf numFmtId="0" fontId="0" fillId="10" borderId="6" xfId="0" applyFill="1" applyBorder="1" applyAlignment="1">
      <alignment wrapText="1"/>
    </xf>
    <xf numFmtId="0" fontId="5" fillId="0" borderId="18" xfId="0" applyFont="1" applyBorder="1"/>
    <xf numFmtId="0" fontId="23" fillId="0" borderId="0" xfId="0" applyFont="1"/>
    <xf numFmtId="0" fontId="0" fillId="0" borderId="0" xfId="0" applyAlignment="1">
      <alignment horizontal="left" wrapText="1"/>
    </xf>
    <xf numFmtId="0" fontId="5" fillId="0" borderId="0" xfId="0" applyFont="1"/>
    <xf numFmtId="0" fontId="6" fillId="3" borderId="5" xfId="0" applyFont="1" applyFill="1" applyBorder="1" applyAlignment="1">
      <alignment vertical="center" wrapText="1"/>
    </xf>
    <xf numFmtId="0" fontId="0" fillId="0" borderId="3" xfId="0" applyBorder="1"/>
    <xf numFmtId="0" fontId="3" fillId="3" borderId="5" xfId="0" applyFont="1" applyFill="1" applyBorder="1" applyAlignment="1">
      <alignment vertical="center" wrapText="1"/>
    </xf>
    <xf numFmtId="0" fontId="0" fillId="0" borderId="3" xfId="0" applyBorder="1" applyAlignment="1">
      <alignment vertical="center" wrapText="1"/>
    </xf>
    <xf numFmtId="0" fontId="0" fillId="7" borderId="4" xfId="0" applyFill="1" applyBorder="1"/>
    <xf numFmtId="0" fontId="0" fillId="7" borderId="2" xfId="0" applyFill="1" applyBorder="1"/>
    <xf numFmtId="0" fontId="0" fillId="7" borderId="4" xfId="0" applyFill="1" applyBorder="1" applyAlignment="1">
      <alignment wrapText="1"/>
    </xf>
    <xf numFmtId="0" fontId="0" fillId="2" borderId="4" xfId="0" applyFill="1" applyBorder="1"/>
    <xf numFmtId="0" fontId="13" fillId="7" borderId="4" xfId="0" applyFont="1" applyFill="1" applyBorder="1" applyAlignment="1">
      <alignment vertical="top" wrapText="1"/>
    </xf>
    <xf numFmtId="0" fontId="13" fillId="7" borderId="2" xfId="0" applyFont="1" applyFill="1" applyBorder="1" applyAlignment="1">
      <alignment vertical="top" wrapText="1"/>
    </xf>
    <xf numFmtId="0" fontId="0" fillId="7" borderId="2" xfId="0" applyFill="1" applyBorder="1" applyAlignment="1">
      <alignment wrapText="1"/>
    </xf>
    <xf numFmtId="0" fontId="0" fillId="2" borderId="4" xfId="0" applyFill="1" applyBorder="1" applyAlignment="1">
      <alignment wrapText="1"/>
    </xf>
    <xf numFmtId="0" fontId="0" fillId="3" borderId="16" xfId="0" applyFill="1" applyBorder="1" applyAlignment="1">
      <alignment wrapText="1"/>
    </xf>
    <xf numFmtId="0" fontId="2" fillId="2" borderId="0" xfId="1" applyFill="1" applyAlignment="1"/>
    <xf numFmtId="0" fontId="2" fillId="0" borderId="0" xfId="1" applyFill="1" applyAlignment="1"/>
    <xf numFmtId="0" fontId="1" fillId="0" borderId="23" xfId="0" applyFont="1" applyBorder="1" applyAlignment="1">
      <alignment vertical="center"/>
    </xf>
    <xf numFmtId="0" fontId="0" fillId="0" borderId="24" xfId="0" applyBorder="1"/>
    <xf numFmtId="0" fontId="0" fillId="0" borderId="25" xfId="0" applyBorder="1"/>
    <xf numFmtId="0" fontId="3" fillId="4" borderId="18" xfId="0" applyFont="1" applyFill="1" applyBorder="1" applyAlignment="1">
      <alignment wrapText="1"/>
    </xf>
    <xf numFmtId="0" fontId="0" fillId="4" borderId="18" xfId="0" applyFill="1" applyBorder="1" applyAlignment="1">
      <alignment wrapText="1"/>
    </xf>
    <xf numFmtId="0" fontId="2" fillId="2" borderId="4" xfId="1" applyFill="1" applyBorder="1" applyAlignment="1"/>
    <xf numFmtId="0" fontId="0" fillId="0" borderId="2" xfId="0" applyBorder="1"/>
    <xf numFmtId="0" fontId="1" fillId="7" borderId="9" xfId="0" applyFont="1" applyFill="1" applyBorder="1" applyAlignment="1">
      <alignment vertical="top" wrapText="1"/>
    </xf>
    <xf numFmtId="0" fontId="1" fillId="7" borderId="10" xfId="0" applyFont="1" applyFill="1" applyBorder="1" applyAlignment="1">
      <alignment vertical="top"/>
    </xf>
    <xf numFmtId="0" fontId="1" fillId="7" borderId="11" xfId="0" applyFont="1" applyFill="1" applyBorder="1" applyAlignment="1">
      <alignment vertical="top"/>
    </xf>
    <xf numFmtId="0" fontId="1" fillId="7" borderId="12" xfId="0" applyFont="1" applyFill="1" applyBorder="1" applyAlignment="1">
      <alignment vertical="top"/>
    </xf>
    <xf numFmtId="0" fontId="1" fillId="7" borderId="13" xfId="0" applyFont="1" applyFill="1" applyBorder="1" applyAlignment="1">
      <alignment vertical="top"/>
    </xf>
    <xf numFmtId="0" fontId="1" fillId="7" borderId="14" xfId="0" applyFont="1" applyFill="1" applyBorder="1" applyAlignment="1">
      <alignment vertical="top"/>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4" borderId="12" xfId="0" applyFill="1" applyBorder="1" applyAlignment="1">
      <alignment wrapText="1"/>
    </xf>
    <xf numFmtId="0" fontId="0" fillId="0" borderId="13" xfId="0" applyBorder="1" applyAlignment="1">
      <alignment wrapText="1"/>
    </xf>
    <xf numFmtId="0" fontId="0" fillId="0" borderId="12" xfId="0" applyBorder="1" applyAlignment="1">
      <alignment wrapText="1"/>
    </xf>
    <xf numFmtId="0" fontId="6" fillId="3" borderId="19" xfId="0" applyFont="1" applyFill="1" applyBorder="1" applyAlignment="1">
      <alignment vertical="center" wrapText="1"/>
    </xf>
    <xf numFmtId="0" fontId="6" fillId="3" borderId="20" xfId="0" applyFont="1" applyFill="1" applyBorder="1" applyAlignment="1">
      <alignment vertical="center" wrapText="1"/>
    </xf>
    <xf numFmtId="0" fontId="0" fillId="4" borderId="12" xfId="0" applyFill="1" applyBorder="1"/>
    <xf numFmtId="0" fontId="0" fillId="4" borderId="11" xfId="0" applyFill="1" applyBorder="1"/>
    <xf numFmtId="0" fontId="0" fillId="4" borderId="13" xfId="0" applyFill="1" applyBorder="1"/>
    <xf numFmtId="0" fontId="0" fillId="4" borderId="14" xfId="0" applyFill="1" applyBorder="1"/>
    <xf numFmtId="0" fontId="0" fillId="4" borderId="9" xfId="0" applyFill="1" applyBorder="1"/>
    <xf numFmtId="0" fontId="0" fillId="2" borderId="13" xfId="0" applyFill="1" applyBorder="1"/>
    <xf numFmtId="0" fontId="7" fillId="0" borderId="9" xfId="0" applyFont="1" applyBorder="1" applyAlignment="1">
      <alignment vertical="top" wrapText="1"/>
    </xf>
    <xf numFmtId="0" fontId="7" fillId="0" borderId="10" xfId="0" applyFont="1" applyBorder="1" applyAlignment="1">
      <alignment vertical="top"/>
    </xf>
    <xf numFmtId="0" fontId="7" fillId="0" borderId="11" xfId="0" applyFont="1" applyBorder="1" applyAlignment="1">
      <alignment vertical="top"/>
    </xf>
    <xf numFmtId="0" fontId="7" fillId="0" borderId="12" xfId="0" applyFont="1" applyBorder="1" applyAlignment="1">
      <alignment vertical="top"/>
    </xf>
    <xf numFmtId="0" fontId="7" fillId="0" borderId="13" xfId="0" applyFont="1" applyBorder="1" applyAlignment="1">
      <alignment vertical="top"/>
    </xf>
    <xf numFmtId="0" fontId="7" fillId="0" borderId="14" xfId="0" applyFont="1" applyBorder="1" applyAlignment="1">
      <alignment vertical="top"/>
    </xf>
    <xf numFmtId="0" fontId="0" fillId="3" borderId="4" xfId="0" applyFill="1" applyBorder="1" applyAlignment="1">
      <alignment wrapText="1"/>
    </xf>
    <xf numFmtId="0" fontId="2" fillId="7" borderId="0" xfId="1" applyFill="1" applyAlignment="1"/>
    <xf numFmtId="0" fontId="0" fillId="0" borderId="14" xfId="0" applyBorder="1" applyAlignment="1">
      <alignment wrapText="1"/>
    </xf>
    <xf numFmtId="0" fontId="3" fillId="4" borderId="10" xfId="0" applyFont="1" applyFill="1" applyBorder="1" applyAlignment="1">
      <alignment wrapText="1"/>
    </xf>
    <xf numFmtId="0" fontId="0" fillId="4" borderId="14" xfId="0" applyFill="1" applyBorder="1" applyAlignment="1">
      <alignment wrapText="1"/>
    </xf>
    <xf numFmtId="0" fontId="0" fillId="0" borderId="10" xfId="0" applyBorder="1"/>
    <xf numFmtId="0" fontId="0" fillId="0" borderId="11" xfId="0" applyBorder="1"/>
    <xf numFmtId="0" fontId="0" fillId="0" borderId="12" xfId="0" applyBorder="1"/>
    <xf numFmtId="0" fontId="3" fillId="3" borderId="17" xfId="0" applyFont="1" applyFill="1" applyBorder="1" applyAlignment="1">
      <alignment vertical="center" wrapText="1"/>
    </xf>
    <xf numFmtId="0" fontId="0" fillId="0" borderId="31" xfId="0" applyBorder="1" applyAlignment="1">
      <alignment vertical="center" wrapText="1"/>
    </xf>
    <xf numFmtId="0" fontId="15" fillId="2" borderId="9" xfId="0" applyFont="1" applyFill="1" applyBorder="1" applyAlignment="1">
      <alignment vertical="top" wrapText="1"/>
    </xf>
    <xf numFmtId="0" fontId="15" fillId="0" borderId="10" xfId="0" applyFont="1" applyBorder="1" applyAlignment="1">
      <alignment vertical="top"/>
    </xf>
    <xf numFmtId="0" fontId="0" fillId="0" borderId="13" xfId="0" applyBorder="1"/>
    <xf numFmtId="0" fontId="0" fillId="0" borderId="14" xfId="0" applyBorder="1"/>
    <xf numFmtId="0" fontId="0" fillId="0" borderId="9" xfId="0" applyBorder="1"/>
    <xf numFmtId="0" fontId="3" fillId="5" borderId="13" xfId="0" applyFont="1" applyFill="1" applyBorder="1" applyAlignment="1">
      <alignment horizontal="center"/>
    </xf>
    <xf numFmtId="0" fontId="3" fillId="5" borderId="37" xfId="0" applyFont="1" applyFill="1" applyBorder="1" applyAlignment="1">
      <alignment horizontal="center"/>
    </xf>
    <xf numFmtId="0" fontId="0" fillId="0" borderId="37" xfId="0" applyBorder="1"/>
    <xf numFmtId="0" fontId="0" fillId="0" borderId="15" xfId="0" applyBorder="1" applyAlignment="1">
      <alignment wrapText="1"/>
    </xf>
    <xf numFmtId="0" fontId="0" fillId="0" borderId="18" xfId="0" applyBorder="1" applyAlignment="1">
      <alignment wrapText="1"/>
    </xf>
    <xf numFmtId="0" fontId="0" fillId="0" borderId="22" xfId="0" applyBorder="1" applyAlignment="1">
      <alignment wrapText="1"/>
    </xf>
  </cellXfs>
  <cellStyles count="2">
    <cellStyle name="Hyperlink" xfId="1" builtinId="8"/>
    <cellStyle name="Normal" xfId="0" builtinId="0"/>
  </cellStyles>
  <dxfs count="1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368300</xdr:rowOff>
        </xdr:from>
        <xdr:to>
          <xdr:col>4</xdr:col>
          <xdr:colOff>812800</xdr:colOff>
          <xdr:row>0</xdr:row>
          <xdr:rowOff>596900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0</xdr:row>
          <xdr:rowOff>177800</xdr:rowOff>
        </xdr:from>
        <xdr:to>
          <xdr:col>9</xdr:col>
          <xdr:colOff>1625600</xdr:colOff>
          <xdr:row>0</xdr:row>
          <xdr:rowOff>444500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Constraints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O'Loughlin, Ian" id="{2A5599AF-3179-0849-91F7-71E8DDE998AC}" userId="S::ianol@amazon.com::5c011277-135a-4a31-b137-3a1510eaa421" providerId="AD"/>
  <person displayName="Foley, Betsy" id="{07D70106-875E-4C06-AD49-47475A7F5EEA}" userId="S::betsyf@amazon.com::a74be27a-6bb9-4cb6-8fdb-da87cb8ae8f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099B0F-BAE1-485F-A488-A17972A88C3D}" name="Table1" displayName="Table1" ref="E1:E35" totalsRowShown="0" headerRowDxfId="31" dataDxfId="30">
  <autoFilter ref="E1:E35" xr:uid="{37F58C8F-1974-409C-B2EA-A3DBA8F6F552}"/>
  <sortState xmlns:xlrd2="http://schemas.microsoft.com/office/spreadsheetml/2017/richdata2" ref="E2:E39">
    <sortCondition ref="E2:E39"/>
  </sortState>
  <tableColumns count="1">
    <tableColumn id="1" xr3:uid="{6BB0A78C-91AB-4FE6-BA83-EACB539D8827}" name="Datatype"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F3ED6-5576-4F7C-B6AF-1321D4CBE7DF}" name="Table2" displayName="Table2" ref="F1:F2" totalsRowShown="0" headerRowDxfId="28" dataDxfId="27">
  <autoFilter ref="F1:F2" xr:uid="{4EA74577-FD12-4FB9-A46C-0B1CC43E26F3}"/>
  <tableColumns count="1">
    <tableColumn id="1" xr3:uid="{2D696006-C82D-4D02-B772-70815C3F303F}" name="Component Data Type"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227DA-33EA-406C-9329-A1E1EA96E78D}" name="Table3" displayName="Table3" ref="G1:G3" totalsRowShown="0" headerRowDxfId="25" dataDxfId="24">
  <autoFilter ref="G1:G3" xr:uid="{E3C53B3E-CF0F-4F86-83E3-709FA5BC7FE2}"/>
  <tableColumns count="1">
    <tableColumn id="1" xr3:uid="{C6DAD289-6A7A-4F26-959C-1757643A531E}" name="Datatype Subattribute" data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3144B3-6E3E-4763-8B52-EC51B7E59764}" name="Table4" displayName="Table4" ref="H1:K11" totalsRowCount="1" headerRowDxfId="22" dataDxfId="21">
  <tableColumns count="4">
    <tableColumn id="1" xr3:uid="{9EDB1395-E4E0-480F-BA4D-F5DFF7C479B4}" name="Change Type" dataDxfId="20" totalsRowDxfId="19"/>
    <tableColumn id="2" xr3:uid="{DA13272B-32AF-48F5-BCEF-EF7850989F98}" name="Attribute SDL" totalsRowFunction="custom" dataDxfId="18" totalsRowDxfId="17">
      <totalsRowFormula>"{"&amp;CHAR(10)&amp;"ccp_attribute_name:["&amp;CHAR(10)&amp;
     Attribute!$G$20 &amp;CHAR(10)&amp;
"],
 nested_table:{
    row_type:'ItemHeightThickness@1.0',
    selector:[
    marketplace_id
    ]
 }
}"</totalsRowFormula>
    </tableColumn>
    <tableColumn id="3" xr3:uid="{B6D856F1-E5E6-43A5-92BF-874E16B3597B}" name="DT Example" dataDxfId="16" totalsRowDxfId="15"/>
    <tableColumn id="4" xr3:uid="{D464A719-B688-4482-A9DB-9B4560C2747B}" name="Recon" dataDxfId="14" totalsRow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EAE83D-3A88-4CD8-AE15-1EB5AC817D74}" name="Table6" displayName="Table6" ref="O1:O4" totalsRowShown="0" headerRowDxfId="12">
  <autoFilter ref="O1:O4" xr:uid="{03EAE83D-3A88-4CD8-AE15-1EB5AC817D74}"/>
  <tableColumns count="1">
    <tableColumn id="1" xr3:uid="{7E9ECD01-EDFC-4B20-9152-D42DFD25E709}" name="Item Off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813503-3B6D-4B5D-9C19-C0A984C8E1BA}" name="Table7" displayName="Table7" ref="N1:N3" totalsRowShown="0" headerRowDxfId="11">
  <autoFilter ref="N1:N3" xr:uid="{B9813503-3B6D-4B5D-9C19-C0A984C8E1BA}"/>
  <tableColumns count="1">
    <tableColumn id="1" xr3:uid="{6C04EBEF-0A6D-4F91-B358-F80DDA9EDB6F}" name="Datatype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7" dT="2025-07-24T08:45:40.32" personId="{2A5599AF-3179-0849-91F7-71E8DDE998AC}" id="{D90DD893-B48D-9748-AFFC-DAF18959643C}">
    <text>As per the Quip this attribute is seller facing - https://quip-amazon.com/3Y7mAV5AAMLb/Operating-System-Attribute-for-Compatibility-Program#temp:C:MdR9b06d519a9834fce8163db0f0</text>
    <extLst>
      <x:ext xmlns:xltc2="http://schemas.microsoft.com/office/spreadsheetml/2020/threadedcomments2" uri="{F7C98A9C-CBB3-438F-8F68-D28B6AF4A901}">
        <xltc2:checksum>3923575275</xltc2:checksum>
        <xltc2:hyperlink startIndex="50" length="125" url="https://quip-amazon.com/3Y7mAV5AAMLb/Operating-System-Attribute-for-Compatibility-Program#temp:C:MdR9b06d519a9834fce8163db0f0"/>
      </x:ext>
    </extLst>
  </threadedComment>
  <threadedComment ref="C8" dT="2025-07-25T10:52:12.11" personId="{2A5599AF-3179-0849-91F7-71E8DDE998AC}" id="{FB4C9D53-99B9-F546-8A55-D97A8AC58FC7}">
    <text xml:space="preserve">I think you can just set this and the previous cell to what's here. https://w.amazon.com/bin/view/ProductKnowledge/Architecture/Content/DataModeling/Attributes/SimpleAttributeModelingGuidelines#HAttributeTab . I don't think it makes sense to state internal given the use case.
</text>
    <extLst>
      <x:ext xmlns:xltc2="http://schemas.microsoft.com/office/spreadsheetml/2020/threadedcomments2" uri="{F7C98A9C-CBB3-438F-8F68-D28B6AF4A901}">
        <xltc2:checksum>1997963222</xltc2:checksum>
        <xltc2:hyperlink startIndex="68" length="139" url="https://w.amazon.com/bin/view/ProductKnowledge/Architecture/Content/DataModeling/Attributes/SimpleAttributeModelingGuidelines#HAttributeTab"/>
      </x:ext>
    </extLst>
  </threadedComment>
  <threadedComment ref="C28" dT="2025-07-24T08:47:18.61" personId="{2A5599AF-3179-0849-91F7-71E8DDE998AC}" id="{085F2C1B-7D96-2044-8671-13EE3FCA6D2C}">
    <text xml:space="preserve">It is part of listing experience isn't it? This is the value the seller enters?
</text>
  </threadedComment>
  <threadedComment ref="D28" dT="2025-07-25T10:53:42.93" personId="{2A5599AF-3179-0849-91F7-71E8DDE998AC}" id="{8AAC4A78-7DF2-C546-8733-376CFAFDF833}">
    <text>Set to product listing</text>
  </threadedComment>
</ThreadedComments>
</file>

<file path=xl/threadedComments/threadedComment2.xml><?xml version="1.0" encoding="utf-8"?>
<ThreadedComments xmlns="http://schemas.microsoft.com/office/spreadsheetml/2018/threadedcomments" xmlns:x="http://schemas.openxmlformats.org/spreadsheetml/2006/main">
  <threadedComment ref="F5" dT="2025-07-23T16:39:45.21" personId="{07D70106-875E-4C06-AD49-47475A7F5EEA}" id="{8E086531-D7C9-46F6-AFA8-DE30F6648871}">
    <text>Typically we do not create multiple enumeration sets at PRODUCT for a SymbolVariant attribute. What you can do instead is create one enumeration set at PRODUCT that includes all necessary values with soft enumerations sets at the necessary PTs which are subsets of the values needed at PRODUCT (essentially, make a constraint for each PT you’re making relevant that needs either the mobile or computer subset - those that can use the full set at PRODUCT do not need an individual constraint set, they will use the set as defined at PRODUCT). That said, I know Compatibility sometimes does things differently. Is this a config that they specifically asked for?</text>
  </threadedComment>
</ThreadedComments>
</file>

<file path=xl/threadedComments/threadedComment3.xml><?xml version="1.0" encoding="utf-8"?>
<ThreadedComments xmlns="http://schemas.microsoft.com/office/spreadsheetml/2018/threadedcomments" xmlns:x="http://schemas.openxmlformats.org/spreadsheetml/2006/main">
  <threadedComment ref="D5" dT="2025-07-23T16:47:45.55" personId="{07D70106-875E-4C06-AD49-47475A7F5EEA}" id="{CA0FF536-0418-4C63-B789-7230523AE8A2}">
    <text>This is a good start, but I think it could use some clarity that this attribute is going to be used to show the minimum operating system version of the base product required for the accessory to function properly.</text>
  </threadedComment>
  <threadedComment ref="D6" dT="2025-07-23T16:48:24.23" personId="{07D70106-875E-4C06-AD49-47475A7F5EEA}" id="{9CEB6C2B-12D2-4AA6-A36B-F3532EB82B95}">
    <text>Same callout about clarifying that it’s the OS version of the base product needed for the accessory to function properly with it.</text>
  </threadedComment>
</ThreadedComments>
</file>

<file path=xl/threadedComments/threadedComment4.xml><?xml version="1.0" encoding="utf-8"?>
<ThreadedComments xmlns="http://schemas.microsoft.com/office/spreadsheetml/2018/threadedcomments" xmlns:x="http://schemas.openxmlformats.org/spreadsheetml/2006/main">
  <threadedComment ref="H2" dT="2025-07-23T16:42:46.77" personId="{07D70106-875E-4C06-AD49-47475A7F5EEA}" id="{BFCBE674-9E94-4A03-93E9-EA9C635376C2}">
    <text>This will make the attribute visible on listing templates, but on the Attribute tab you state this is meant to be internal and filled by Compatibility. So this should be not_visible_or_editable. Just note that that isn’t a real setting in UMP, it just tells CMS during implementation that we intentionally do not want to surface this attribute on listing templates.</text>
  </threadedComment>
</ThreadedComments>
</file>

<file path=xl/threadedComments/threadedComment5.xml><?xml version="1.0" encoding="utf-8"?>
<ThreadedComments xmlns="http://schemas.microsoft.com/office/spreadsheetml/2018/threadedcomments" xmlns:x="http://schemas.openxmlformats.org/spreadsheetml/2006/main">
  <threadedComment ref="I17" dT="2025-07-25T10:56:42.11" personId="{2A5599AF-3179-0849-91F7-71E8DDE998AC}" id="{50EE8E58-845F-FF4A-B527-1C672774EC12}">
    <text>Insert</text>
  </threadedComment>
</ThreadedComments>
</file>

<file path=xl/worksheets/_rels/sheet2.xml.rels><?xml version="1.0" encoding="UTF-8" standalone="yes"?>
<Relationships xmlns="http://schemas.openxmlformats.org/package/2006/relationships"><Relationship Id="rId3" Type="http://schemas.openxmlformats.org/officeDocument/2006/relationships/hyperlink" Target="https://issues.amazon.com/issues/PK-8894" TargetMode="External"/><Relationship Id="rId7" Type="http://schemas.openxmlformats.org/officeDocument/2006/relationships/ctrlProp" Target="../ctrlProps/ctrlProp1.xml"/><Relationship Id="rId2" Type="http://schemas.openxmlformats.org/officeDocument/2006/relationships/hyperlink" Target="mailto:UnitDecimalRangeVariant@1.0" TargetMode="External"/><Relationship Id="rId1" Type="http://schemas.openxmlformats.org/officeDocument/2006/relationships/hyperlink" Target="mailto:SymbolVariant@1.0"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ymbolVariant@1.0"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8" Type="http://schemas.openxmlformats.org/officeDocument/2006/relationships/hyperlink" Target="mailto:TypeSubTypeVariant@1.0" TargetMode="External"/><Relationship Id="rId13" Type="http://schemas.openxmlformats.org/officeDocument/2006/relationships/hyperlink" Target="mailto:UnitIntVariant@1.0" TargetMode="External"/><Relationship Id="rId18" Type="http://schemas.openxmlformats.org/officeDocument/2006/relationships/hyperlink" Target="mailto:NormalizedUnitDecimalVariant@1.0" TargetMode="External"/><Relationship Id="rId26" Type="http://schemas.openxmlformats.org/officeDocument/2006/relationships/table" Target="../tables/table3.xml"/><Relationship Id="rId3" Type="http://schemas.openxmlformats.org/officeDocument/2006/relationships/hyperlink" Target="mailto:ItemDiameterLength@1.0" TargetMode="External"/><Relationship Id="rId21" Type="http://schemas.openxmlformats.org/officeDocument/2006/relationships/hyperlink" Target="mailto:ItemHeightThickness@1.0" TargetMode="External"/><Relationship Id="rId7" Type="http://schemas.openxmlformats.org/officeDocument/2006/relationships/hyperlink" Target="mailto:IntVariant@1.0" TargetMode="External"/><Relationship Id="rId12" Type="http://schemas.openxmlformats.org/officeDocument/2006/relationships/hyperlink" Target="mailto:UnitDecimalRangeVariant@1.0" TargetMode="External"/><Relationship Id="rId17" Type="http://schemas.openxmlformats.org/officeDocument/2006/relationships/hyperlink" Target="mailto:TypedUnitDecimalVariant@1.0" TargetMode="External"/><Relationship Id="rId25" Type="http://schemas.openxmlformats.org/officeDocument/2006/relationships/table" Target="../tables/table2.xml"/><Relationship Id="rId2" Type="http://schemas.openxmlformats.org/officeDocument/2006/relationships/hyperlink" Target="mailto:PriceVariant@1.0" TargetMode="External"/><Relationship Id="rId16" Type="http://schemas.openxmlformats.org/officeDocument/2006/relationships/hyperlink" Target="mailto:TypedIntRangeVariant@1.0" TargetMode="External"/><Relationship Id="rId20" Type="http://schemas.openxmlformats.org/officeDocument/2006/relationships/hyperlink" Target="mailto:ItemLengthWidth@1.0" TargetMode="External"/><Relationship Id="rId29" Type="http://schemas.openxmlformats.org/officeDocument/2006/relationships/table" Target="../tables/table6.xml"/><Relationship Id="rId1" Type="http://schemas.openxmlformats.org/officeDocument/2006/relationships/hyperlink" Target="mailto:LocalizedStringVariant@1.0" TargetMode="External"/><Relationship Id="rId6" Type="http://schemas.openxmlformats.org/officeDocument/2006/relationships/hyperlink" Target="mailto:FractionMeasureVariant@1.0" TargetMode="External"/><Relationship Id="rId11" Type="http://schemas.openxmlformats.org/officeDocument/2006/relationships/hyperlink" Target="mailto:TypedSymbolVariant@1.0" TargetMode="External"/><Relationship Id="rId24" Type="http://schemas.openxmlformats.org/officeDocument/2006/relationships/table" Target="../tables/table1.xml"/><Relationship Id="rId5" Type="http://schemas.openxmlformats.org/officeDocument/2006/relationships/hyperlink" Target="mailto:TimeStampVariant@1.0" TargetMode="External"/><Relationship Id="rId15" Type="http://schemas.openxmlformats.org/officeDocument/2006/relationships/hyperlink" Target="mailto:FractionVariant@1.0" TargetMode="External"/><Relationship Id="rId23" Type="http://schemas.openxmlformats.org/officeDocument/2006/relationships/printerSettings" Target="../printerSettings/printerSettings9.bin"/><Relationship Id="rId28" Type="http://schemas.openxmlformats.org/officeDocument/2006/relationships/table" Target="../tables/table5.xml"/><Relationship Id="rId10" Type="http://schemas.openxmlformats.org/officeDocument/2006/relationships/hyperlink" Target="mailto:TypedStringVariant@1.0" TargetMode="External"/><Relationship Id="rId19" Type="http://schemas.openxmlformats.org/officeDocument/2006/relationships/hyperlink" Target="mailto:ItemDiameterThickness@1.0" TargetMode="External"/><Relationship Id="rId4" Type="http://schemas.openxmlformats.org/officeDocument/2006/relationships/hyperlink" Target="mailto:SymbolVariant@1.0" TargetMode="External"/><Relationship Id="rId9" Type="http://schemas.openxmlformats.org/officeDocument/2006/relationships/hyperlink" Target="mailto:TypedIntVariant@1.0" TargetMode="External"/><Relationship Id="rId14" Type="http://schemas.openxmlformats.org/officeDocument/2006/relationships/hyperlink" Target="mailto:TypedPriceVariant@1.0" TargetMode="External"/><Relationship Id="rId22" Type="http://schemas.openxmlformats.org/officeDocument/2006/relationships/hyperlink" Target="mailto:TypedQuantityVariant@1.0" TargetMode="External"/><Relationship Id="rId27"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mailto:UnitIntVariant@1.0" TargetMode="External"/><Relationship Id="rId7" Type="http://schemas.openxmlformats.org/officeDocument/2006/relationships/hyperlink" Target="mailto:ItemDiameterThickness@1.0" TargetMode="External"/><Relationship Id="rId2" Type="http://schemas.openxmlformats.org/officeDocument/2006/relationships/hyperlink" Target="mailto:PriceVariant@1.0" TargetMode="External"/><Relationship Id="rId1" Type="http://schemas.openxmlformats.org/officeDocument/2006/relationships/hyperlink" Target="mailto:FractionMeasureVariant@1.0" TargetMode="External"/><Relationship Id="rId6" Type="http://schemas.openxmlformats.org/officeDocument/2006/relationships/hyperlink" Target="mailto:TypedIntRangeVariant@1.0" TargetMode="External"/><Relationship Id="rId5" Type="http://schemas.openxmlformats.org/officeDocument/2006/relationships/hyperlink" Target="mailto:ItemDiameterLength@1.0" TargetMode="External"/><Relationship Id="rId4" Type="http://schemas.openxmlformats.org/officeDocument/2006/relationships/hyperlink" Target="mailto:UnitDecimalRangeVariant@1.0"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mailto:TypedIntRangeVariant@1.0" TargetMode="External"/><Relationship Id="rId2" Type="http://schemas.openxmlformats.org/officeDocument/2006/relationships/hyperlink" Target="mailto:ItemDiameterLength@1.0" TargetMode="External"/><Relationship Id="rId1" Type="http://schemas.openxmlformats.org/officeDocument/2006/relationships/hyperlink" Target="mailto:UnitDecimalRangeVariant@1.0" TargetMode="External"/><Relationship Id="rId6" Type="http://schemas.openxmlformats.org/officeDocument/2006/relationships/printerSettings" Target="../printerSettings/printerSettings11.bin"/><Relationship Id="rId5" Type="http://schemas.openxmlformats.org/officeDocument/2006/relationships/hyperlink" Target="mailto:ItemDiameterThickness@1.0" TargetMode="External"/><Relationship Id="rId4" Type="http://schemas.openxmlformats.org/officeDocument/2006/relationships/hyperlink" Target="mailto:NormalizedUnitDecimalVariant@1.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9"/>
  <sheetViews>
    <sheetView workbookViewId="0">
      <selection activeCell="B13" sqref="B13"/>
    </sheetView>
  </sheetViews>
  <sheetFormatPr baseColWidth="10" defaultColWidth="8.83203125" defaultRowHeight="15" x14ac:dyDescent="0.2"/>
  <cols>
    <col min="2" max="2" width="12.83203125" customWidth="1"/>
    <col min="3" max="3" width="56.1640625" customWidth="1"/>
  </cols>
  <sheetData>
    <row r="1" spans="1:3" x14ac:dyDescent="0.2">
      <c r="A1" s="10" t="s">
        <v>0</v>
      </c>
      <c r="B1" s="10" t="s">
        <v>1</v>
      </c>
      <c r="C1" s="10" t="s">
        <v>2</v>
      </c>
    </row>
    <row r="2" spans="1:3" ht="48" x14ac:dyDescent="0.2">
      <c r="A2" s="2" t="s">
        <v>3</v>
      </c>
      <c r="B2" s="17"/>
      <c r="C2" s="35" t="s">
        <v>4</v>
      </c>
    </row>
    <row r="3" spans="1:3" x14ac:dyDescent="0.2">
      <c r="A3" s="2">
        <v>1</v>
      </c>
      <c r="B3" s="17" t="s">
        <v>763</v>
      </c>
      <c r="C3" s="2" t="s">
        <v>297</v>
      </c>
    </row>
    <row r="4" spans="1:3" x14ac:dyDescent="0.2">
      <c r="A4">
        <v>2</v>
      </c>
      <c r="B4" t="s">
        <v>904</v>
      </c>
      <c r="C4" t="s">
        <v>916</v>
      </c>
    </row>
    <row r="5" spans="1:3" x14ac:dyDescent="0.2">
      <c r="A5">
        <v>3</v>
      </c>
      <c r="B5" t="s">
        <v>907</v>
      </c>
      <c r="C5" t="s">
        <v>915</v>
      </c>
    </row>
    <row r="6" spans="1:3" x14ac:dyDescent="0.2">
      <c r="A6">
        <v>4</v>
      </c>
      <c r="B6" t="s">
        <v>908</v>
      </c>
      <c r="C6" t="s">
        <v>914</v>
      </c>
    </row>
    <row r="7" spans="1:3" x14ac:dyDescent="0.2">
      <c r="A7">
        <v>5</v>
      </c>
      <c r="B7" t="s">
        <v>910</v>
      </c>
      <c r="C7" t="s">
        <v>913</v>
      </c>
    </row>
    <row r="8" spans="1:3" x14ac:dyDescent="0.2">
      <c r="A8">
        <v>6</v>
      </c>
      <c r="B8" t="s">
        <v>910</v>
      </c>
      <c r="C8" t="s">
        <v>912</v>
      </c>
    </row>
    <row r="9" spans="1:3" x14ac:dyDescent="0.2">
      <c r="A9">
        <v>7</v>
      </c>
      <c r="B9" t="s">
        <v>917</v>
      </c>
      <c r="C9" t="s">
        <v>918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N55"/>
  <sheetViews>
    <sheetView topLeftCell="A55" zoomScale="135" zoomScaleNormal="135" workbookViewId="0">
      <selection activeCell="D28" sqref="D28"/>
    </sheetView>
  </sheetViews>
  <sheetFormatPr baseColWidth="10" defaultColWidth="8.83203125" defaultRowHeight="15" x14ac:dyDescent="0.2"/>
  <cols>
    <col min="2" max="2" width="48.1640625" customWidth="1"/>
    <col min="3" max="3" width="42.83203125" customWidth="1"/>
    <col min="4" max="4" width="45" customWidth="1"/>
    <col min="5" max="5" width="19.5" customWidth="1"/>
    <col min="6" max="6" width="8.83203125" customWidth="1"/>
    <col min="7" max="7" width="22.5" hidden="1" customWidth="1"/>
    <col min="8" max="8" width="8.83203125" customWidth="1"/>
    <col min="9" max="9" width="30.5" customWidth="1"/>
    <col min="10" max="10" width="16.5" hidden="1" customWidth="1"/>
    <col min="11" max="11" width="6" hidden="1" customWidth="1"/>
    <col min="12" max="12" width="0" hidden="1" customWidth="1"/>
  </cols>
  <sheetData>
    <row r="1" spans="2:14" ht="50.5" customHeight="1" thickBot="1" x14ac:dyDescent="0.3">
      <c r="B1" s="25" t="s">
        <v>5</v>
      </c>
      <c r="C1" s="24"/>
    </row>
    <row r="2" spans="2:14" ht="16" thickBot="1" x14ac:dyDescent="0.25">
      <c r="B2" s="4" t="s">
        <v>6</v>
      </c>
      <c r="C2" s="114" t="s">
        <v>298</v>
      </c>
      <c r="D2" s="115"/>
    </row>
    <row r="3" spans="2:14" ht="16" thickBot="1" x14ac:dyDescent="0.25">
      <c r="B3" s="4" t="s">
        <v>197</v>
      </c>
      <c r="C3" s="130" t="s">
        <v>299</v>
      </c>
      <c r="D3" s="131"/>
    </row>
    <row r="4" spans="2:14" ht="16" thickBot="1" x14ac:dyDescent="0.25">
      <c r="B4" s="4" t="s">
        <v>7</v>
      </c>
      <c r="C4" s="32" t="s">
        <v>8</v>
      </c>
      <c r="D4" s="26"/>
    </row>
    <row r="5" spans="2:14" ht="46.5" customHeight="1" thickBot="1" x14ac:dyDescent="0.25">
      <c r="B5" s="12" t="s">
        <v>9</v>
      </c>
      <c r="C5" s="116" t="s">
        <v>764</v>
      </c>
      <c r="D5" s="115"/>
    </row>
    <row r="6" spans="2:14" ht="16" thickBot="1" x14ac:dyDescent="0.25">
      <c r="B6" s="4" t="s">
        <v>10</v>
      </c>
      <c r="C6" s="114" t="s">
        <v>300</v>
      </c>
      <c r="D6" s="115"/>
    </row>
    <row r="7" spans="2:14" ht="16" thickBot="1" x14ac:dyDescent="0.25">
      <c r="B7" s="4" t="s">
        <v>11</v>
      </c>
      <c r="C7" s="114" t="s">
        <v>906</v>
      </c>
      <c r="D7" s="115"/>
    </row>
    <row r="8" spans="2:14" ht="24" customHeight="1" thickBot="1" x14ac:dyDescent="0.25">
      <c r="B8" s="4" t="s">
        <v>12</v>
      </c>
      <c r="C8" s="117" t="s">
        <v>906</v>
      </c>
      <c r="D8" s="115"/>
      <c r="N8" t="s">
        <v>296</v>
      </c>
    </row>
    <row r="9" spans="2:14" ht="87.5" customHeight="1" thickBot="1" x14ac:dyDescent="0.25">
      <c r="B9" s="4" t="s">
        <v>13</v>
      </c>
      <c r="C9" s="118" t="s">
        <v>765</v>
      </c>
      <c r="D9" s="119"/>
    </row>
    <row r="10" spans="2:14" x14ac:dyDescent="0.2">
      <c r="B10" s="3"/>
    </row>
    <row r="11" spans="2:14" ht="20" thickBot="1" x14ac:dyDescent="0.3">
      <c r="B11" s="18" t="s">
        <v>14</v>
      </c>
    </row>
    <row r="12" spans="2:14" ht="17" thickBot="1" x14ac:dyDescent="0.25">
      <c r="B12" s="7" t="s">
        <v>15</v>
      </c>
      <c r="C12" s="116" t="s">
        <v>301</v>
      </c>
      <c r="D12" s="120"/>
    </row>
    <row r="13" spans="2:14" ht="24" customHeight="1" thickBot="1" x14ac:dyDescent="0.25">
      <c r="B13" s="5" t="s">
        <v>16</v>
      </c>
      <c r="C13" s="116" t="str">
        <f>CONCATENATE("[",G20,"]")</f>
        <v>[minimum_required_operating_system_version]</v>
      </c>
      <c r="D13" s="120"/>
      <c r="E13" s="30"/>
    </row>
    <row r="14" spans="2:14" ht="18" customHeight="1" thickBot="1" x14ac:dyDescent="0.25">
      <c r="B14" s="110" t="s">
        <v>17</v>
      </c>
      <c r="C14" s="121" t="s">
        <v>18</v>
      </c>
      <c r="D14" s="122" t="s">
        <v>19</v>
      </c>
      <c r="E14" s="38" t="s">
        <v>19</v>
      </c>
    </row>
    <row r="15" spans="2:14" ht="27" customHeight="1" thickBot="1" x14ac:dyDescent="0.25">
      <c r="B15" s="111"/>
      <c r="C15" s="123" t="s">
        <v>20</v>
      </c>
      <c r="D15" s="124" t="s">
        <v>21</v>
      </c>
      <c r="E15" s="27" t="s">
        <v>21</v>
      </c>
    </row>
    <row r="16" spans="2:14" ht="16" x14ac:dyDescent="0.2">
      <c r="B16" s="144" t="s">
        <v>22</v>
      </c>
      <c r="C16" s="11" t="s">
        <v>18</v>
      </c>
      <c r="D16" s="39" t="s">
        <v>23</v>
      </c>
      <c r="E16" s="39" t="s">
        <v>19</v>
      </c>
    </row>
    <row r="17" spans="2:11" ht="25.5" customHeight="1" thickBot="1" x14ac:dyDescent="0.25">
      <c r="B17" s="145"/>
      <c r="C17" s="104" t="s">
        <v>158</v>
      </c>
      <c r="D17" s="105" t="s">
        <v>158</v>
      </c>
      <c r="E17" s="27" t="s">
        <v>288</v>
      </c>
    </row>
    <row r="18" spans="2:11" ht="17" thickBot="1" x14ac:dyDescent="0.25">
      <c r="B18" s="28" t="s">
        <v>26</v>
      </c>
      <c r="C18" s="125" t="str">
        <f>IF(C15="LocalizedStringVariant@1.0","marketplace_id,  language_tag","marketplace_id")</f>
        <v>marketplace_id</v>
      </c>
      <c r="D18" s="126"/>
      <c r="E18" s="127"/>
    </row>
    <row r="19" spans="2:11" ht="24" customHeight="1" x14ac:dyDescent="0.2">
      <c r="B19" s="28" t="s">
        <v>27</v>
      </c>
      <c r="C19" s="48" t="str">
        <f>IF(C4="Component Attribute","Not Applicable",G20)</f>
        <v>minimum_required_operating_system_version</v>
      </c>
      <c r="D19" s="138"/>
      <c r="E19" s="139"/>
      <c r="G19" t="str">
        <f>LOWER(C12)</f>
        <v>minimum_required_operating_system_version</v>
      </c>
    </row>
    <row r="20" spans="2:11" ht="33" thickBot="1" x14ac:dyDescent="0.25">
      <c r="B20" s="29" t="s">
        <v>28</v>
      </c>
      <c r="C20" s="48" t="str">
        <f>IF($C$4="Component Attribute","Not Applicable",G21)</f>
        <v>subfield</v>
      </c>
      <c r="D20" s="140"/>
      <c r="E20" s="141"/>
      <c r="G20" s="48" t="str">
        <f>SUBSTITUTE(G19," ","_")</f>
        <v>minimum_required_operating_system_version</v>
      </c>
    </row>
    <row r="21" spans="2:11" ht="24" customHeight="1" thickBot="1" x14ac:dyDescent="0.25">
      <c r="B21" s="29" t="s">
        <v>29</v>
      </c>
      <c r="C21" s="27" t="str">
        <f>IF($C$4="Component Attribute","Not Applicable",G20)</f>
        <v>minimum_required_operating_system_version</v>
      </c>
      <c r="D21" s="140"/>
      <c r="E21" s="141"/>
      <c r="G21" s="27" t="str">
        <f>VLOOKUP($C$15,V2AttrType!$A$1:$B$43,2,FALSE)</f>
        <v>subfield</v>
      </c>
    </row>
    <row r="22" spans="2:11" ht="21.5" customHeight="1" thickBot="1" x14ac:dyDescent="0.25">
      <c r="B22" s="5" t="s">
        <v>30</v>
      </c>
      <c r="C22" s="27" t="str">
        <f>IF($C$4="Component Attribute","Not Applicable",G20)</f>
        <v>minimum_required_operating_system_version</v>
      </c>
      <c r="D22" s="140"/>
      <c r="E22" s="141"/>
      <c r="G22" s="54" t="str">
        <f>VLOOKUP($C$15,RTIP!$A$1:$B$43,2,FALSE)</f>
        <v>string</v>
      </c>
      <c r="J22" s="55"/>
      <c r="K22" s="56"/>
    </row>
    <row r="23" spans="2:11" ht="24" customHeight="1" thickBot="1" x14ac:dyDescent="0.25">
      <c r="B23" s="29" t="s">
        <v>31</v>
      </c>
      <c r="C23" s="27" t="str">
        <f>IF($C$4="Component Attribute","Not Applicable","Marketplace (m), Vendor (v), Publish (p) ")</f>
        <v xml:space="preserve">Marketplace (m), Vendor (v), Publish (p) </v>
      </c>
      <c r="D23" s="142"/>
      <c r="E23" s="143"/>
      <c r="G23" s="27" t="e">
        <f>IF(AND($G$22="string",Constraint!#REF!&gt;1),"array_string",Attribute!$G$22)</f>
        <v>#REF!</v>
      </c>
    </row>
    <row r="24" spans="2:11" ht="24" customHeight="1" thickBot="1" x14ac:dyDescent="0.4">
      <c r="B24" s="112" t="s">
        <v>33</v>
      </c>
      <c r="C24" s="31" t="s">
        <v>34</v>
      </c>
      <c r="D24" s="11" t="s">
        <v>35</v>
      </c>
      <c r="E24" s="128"/>
      <c r="I24" s="9"/>
    </row>
    <row r="25" spans="2:11" ht="18.5" customHeight="1" thickBot="1" x14ac:dyDescent="0.25">
      <c r="B25" s="113"/>
      <c r="C25" s="27" t="s">
        <v>36</v>
      </c>
      <c r="D25" s="27" t="str">
        <f>IF(C25="Yes","normalized:true,  reconciled:true","N/A")</f>
        <v>N/A</v>
      </c>
      <c r="E25" s="129"/>
    </row>
    <row r="26" spans="2:11" ht="17" thickBot="1" x14ac:dyDescent="0.25">
      <c r="B26" s="29" t="s">
        <v>37</v>
      </c>
      <c r="C26" s="27" t="s">
        <v>38</v>
      </c>
      <c r="D26" s="64"/>
      <c r="E26" s="146"/>
    </row>
    <row r="27" spans="2:11" ht="17" thickBot="1" x14ac:dyDescent="0.25">
      <c r="B27" s="29" t="s">
        <v>39</v>
      </c>
      <c r="C27" s="27" t="s">
        <v>82</v>
      </c>
      <c r="D27" s="11" t="s">
        <v>209</v>
      </c>
      <c r="E27" s="146"/>
    </row>
    <row r="28" spans="2:11" ht="17" thickBot="1" x14ac:dyDescent="0.25">
      <c r="B28" s="29" t="s">
        <v>196</v>
      </c>
      <c r="C28" s="48" t="b">
        <v>1</v>
      </c>
      <c r="D28" s="47" t="s">
        <v>203</v>
      </c>
      <c r="E28" s="146"/>
    </row>
    <row r="29" spans="2:11" ht="17" thickBot="1" x14ac:dyDescent="0.25">
      <c r="B29" s="29" t="s">
        <v>198</v>
      </c>
      <c r="C29" s="66" t="b">
        <v>1</v>
      </c>
      <c r="D29" s="150"/>
      <c r="E29" s="146"/>
    </row>
    <row r="30" spans="2:11" ht="17" thickBot="1" x14ac:dyDescent="0.25">
      <c r="B30" s="29" t="s">
        <v>41</v>
      </c>
      <c r="C30" s="48" t="b">
        <v>0</v>
      </c>
      <c r="D30" s="147"/>
      <c r="E30" s="146"/>
    </row>
    <row r="31" spans="2:11" ht="17" thickBot="1" x14ac:dyDescent="0.25">
      <c r="B31" s="29" t="s">
        <v>42</v>
      </c>
      <c r="C31" s="48" t="b">
        <v>0</v>
      </c>
      <c r="D31" s="147"/>
      <c r="E31" s="146"/>
    </row>
    <row r="32" spans="2:11" ht="17" thickBot="1" x14ac:dyDescent="0.25">
      <c r="B32" s="29" t="s">
        <v>155</v>
      </c>
      <c r="C32" s="48" t="b">
        <v>0</v>
      </c>
      <c r="D32" s="147"/>
      <c r="E32" s="146"/>
    </row>
    <row r="33" spans="2:5" ht="17" thickBot="1" x14ac:dyDescent="0.25">
      <c r="B33" s="29" t="s">
        <v>43</v>
      </c>
      <c r="C33" s="48" t="b">
        <v>0</v>
      </c>
      <c r="D33" s="147"/>
      <c r="E33" s="146"/>
    </row>
    <row r="34" spans="2:5" ht="17" thickBot="1" x14ac:dyDescent="0.25">
      <c r="B34" s="29" t="s">
        <v>44</v>
      </c>
      <c r="C34" s="27" t="b">
        <v>1</v>
      </c>
      <c r="D34" s="151"/>
      <c r="E34" s="146"/>
    </row>
    <row r="35" spans="2:5" ht="17" thickBot="1" x14ac:dyDescent="0.25">
      <c r="B35" s="29" t="s">
        <v>148</v>
      </c>
      <c r="C35" s="51" t="b">
        <v>0</v>
      </c>
      <c r="D35" s="11" t="s">
        <v>176</v>
      </c>
      <c r="E35" s="146"/>
    </row>
    <row r="36" spans="2:5" ht="17" thickBot="1" x14ac:dyDescent="0.25">
      <c r="B36" s="29" t="s">
        <v>154</v>
      </c>
      <c r="C36" s="37" t="b">
        <v>1</v>
      </c>
      <c r="D36" s="65" t="s">
        <v>300</v>
      </c>
      <c r="E36" s="146"/>
    </row>
    <row r="37" spans="2:5" ht="17" thickBot="1" x14ac:dyDescent="0.25">
      <c r="B37" s="29" t="s">
        <v>165</v>
      </c>
      <c r="C37" s="51" t="b">
        <v>0</v>
      </c>
      <c r="D37" s="147"/>
      <c r="E37" s="146"/>
    </row>
    <row r="38" spans="2:5" ht="17" thickBot="1" x14ac:dyDescent="0.25">
      <c r="B38" s="29" t="s">
        <v>181</v>
      </c>
      <c r="C38" s="37" t="s">
        <v>180</v>
      </c>
      <c r="D38" s="147"/>
      <c r="E38" s="146"/>
    </row>
    <row r="39" spans="2:5" ht="24" customHeight="1" thickBot="1" x14ac:dyDescent="0.25">
      <c r="B39" s="29" t="s">
        <v>45</v>
      </c>
      <c r="C39" s="27" t="s">
        <v>623</v>
      </c>
      <c r="D39" s="148"/>
      <c r="E39" s="149"/>
    </row>
    <row r="41" spans="2:5" ht="16" x14ac:dyDescent="0.2">
      <c r="B41" s="7" t="s">
        <v>150</v>
      </c>
    </row>
    <row r="42" spans="2:5" x14ac:dyDescent="0.2">
      <c r="B42" s="132" t="str">
        <f>VLOOKUP(C15,contype!E2:I35,5,FALSE)</f>
        <v>{
ccp_attribute_name:[
minimum_required_operating_system_version
],
 nested_table:{
    row_type:'SymbolVariant@1.0',
    selector:[
    marketplace_id
    ]
 }
}</v>
      </c>
      <c r="C42" s="133"/>
    </row>
    <row r="43" spans="2:5" x14ac:dyDescent="0.2">
      <c r="B43" s="134"/>
      <c r="C43" s="135"/>
    </row>
    <row r="44" spans="2:5" x14ac:dyDescent="0.2">
      <c r="B44" s="134"/>
      <c r="C44" s="135"/>
    </row>
    <row r="45" spans="2:5" x14ac:dyDescent="0.2">
      <c r="B45" s="134"/>
      <c r="C45" s="135"/>
    </row>
    <row r="46" spans="2:5" x14ac:dyDescent="0.2">
      <c r="B46" s="134"/>
      <c r="C46" s="135"/>
    </row>
    <row r="47" spans="2:5" x14ac:dyDescent="0.2">
      <c r="B47" s="134"/>
      <c r="C47" s="135"/>
    </row>
    <row r="48" spans="2:5" x14ac:dyDescent="0.2">
      <c r="B48" s="134"/>
      <c r="C48" s="135"/>
    </row>
    <row r="49" spans="2:3" x14ac:dyDescent="0.2">
      <c r="B49" s="134"/>
      <c r="C49" s="135"/>
    </row>
    <row r="50" spans="2:3" x14ac:dyDescent="0.2">
      <c r="B50" s="134"/>
      <c r="C50" s="135"/>
    </row>
    <row r="51" spans="2:3" ht="49" customHeight="1" x14ac:dyDescent="0.2">
      <c r="B51" s="134"/>
      <c r="C51" s="135"/>
    </row>
    <row r="52" spans="2:3" ht="3" customHeight="1" x14ac:dyDescent="0.2">
      <c r="B52" s="136"/>
      <c r="C52" s="137"/>
    </row>
    <row r="54" spans="2:3" ht="16" x14ac:dyDescent="0.2">
      <c r="B54" s="8" t="s">
        <v>46</v>
      </c>
      <c r="C54" s="57"/>
    </row>
    <row r="55" spans="2:3" ht="171.5" customHeight="1" x14ac:dyDescent="0.2">
      <c r="B55" s="53" t="str">
        <f>VLOOKUP(C15,contype!E2:P35,12,FALSE)</f>
        <v>minimum_required_operating_system_version:[
 {
marketplace_id:1,
value:windows_1_0
 }
]</v>
      </c>
      <c r="C55" s="30"/>
    </row>
  </sheetData>
  <mergeCells count="21">
    <mergeCell ref="B42:C52"/>
    <mergeCell ref="D19:E23"/>
    <mergeCell ref="B16:B17"/>
    <mergeCell ref="E26:E36"/>
    <mergeCell ref="D37:E39"/>
    <mergeCell ref="D29:D34"/>
    <mergeCell ref="B14:B15"/>
    <mergeCell ref="B24:B25"/>
    <mergeCell ref="C2:D2"/>
    <mergeCell ref="C5:D5"/>
    <mergeCell ref="C6:D6"/>
    <mergeCell ref="C7:D7"/>
    <mergeCell ref="C8:D8"/>
    <mergeCell ref="C9:D9"/>
    <mergeCell ref="C12:D12"/>
    <mergeCell ref="C13:D13"/>
    <mergeCell ref="C14:D14"/>
    <mergeCell ref="C15:D15"/>
    <mergeCell ref="C18:E18"/>
    <mergeCell ref="E24:E25"/>
    <mergeCell ref="C3:D3"/>
  </mergeCells>
  <conditionalFormatting sqref="C6:D6">
    <cfRule type="cellIs" dxfId="144" priority="78" operator="equal">
      <formula>"N"</formula>
    </cfRule>
  </conditionalFormatting>
  <conditionalFormatting sqref="C7:D7">
    <cfRule type="cellIs" dxfId="143" priority="76" operator="equal">
      <formula>"N"</formula>
    </cfRule>
  </conditionalFormatting>
  <conditionalFormatting sqref="C8:D8">
    <cfRule type="cellIs" dxfId="142" priority="75" operator="equal">
      <formula>"N"</formula>
    </cfRule>
  </conditionalFormatting>
  <conditionalFormatting sqref="D19">
    <cfRule type="expression" dxfId="141" priority="74">
      <formula>IF($C$4="New Datatype","N",IF($C$4="Change Datatype","N","&lt;Fill In&gt;"))</formula>
    </cfRule>
  </conditionalFormatting>
  <conditionalFormatting sqref="C21">
    <cfRule type="expression" dxfId="140" priority="67">
      <formula>IF($C$4="New Datatype","N",IF($C$4="Change Datatype","N","&lt;Fill In&gt;"))</formula>
    </cfRule>
  </conditionalFormatting>
  <conditionalFormatting sqref="D25">
    <cfRule type="expression" dxfId="139" priority="59">
      <formula>IF($C$4="New Datatype","N",IF($C$4="Change Datatype","N","&lt;Fill In&gt;"))</formula>
    </cfRule>
  </conditionalFormatting>
  <conditionalFormatting sqref="C25">
    <cfRule type="expression" dxfId="138" priority="61">
      <formula>IF($C$4="New Datatype","N",IF($C$4="Change Datatype","N","&lt;Fill In&gt;"))</formula>
    </cfRule>
  </conditionalFormatting>
  <conditionalFormatting sqref="C26">
    <cfRule type="expression" dxfId="137" priority="57">
      <formula>IF($C$4="New Datatype","N",IF($C$4="Change Datatype","N","&lt;Fill In&gt;"))</formula>
    </cfRule>
  </conditionalFormatting>
  <conditionalFormatting sqref="C27">
    <cfRule type="expression" dxfId="136" priority="55">
      <formula>IF($C$4="New Datatype","N",IF($C$4="Change Datatype","N","&lt;Fill In&gt;"))</formula>
    </cfRule>
  </conditionalFormatting>
  <conditionalFormatting sqref="E17">
    <cfRule type="expression" dxfId="135" priority="33">
      <formula>$C$4="Component Attribute"</formula>
    </cfRule>
  </conditionalFormatting>
  <conditionalFormatting sqref="B55:C55">
    <cfRule type="expression" dxfId="134" priority="32">
      <formula>$C$4="Component Attribute"</formula>
    </cfRule>
  </conditionalFormatting>
  <conditionalFormatting sqref="C30">
    <cfRule type="expression" dxfId="133" priority="30">
      <formula>$C$4="Component Attribute"</formula>
    </cfRule>
  </conditionalFormatting>
  <conditionalFormatting sqref="C31">
    <cfRule type="expression" dxfId="132" priority="29">
      <formula>$C$4="Component Attribute"</formula>
    </cfRule>
  </conditionalFormatting>
  <conditionalFormatting sqref="C32">
    <cfRule type="expression" dxfId="131" priority="28">
      <formula>$C$4="Component Attribute"</formula>
    </cfRule>
  </conditionalFormatting>
  <conditionalFormatting sqref="C33">
    <cfRule type="expression" dxfId="130" priority="27">
      <formula>$C$4="Component Attribute"</formula>
    </cfRule>
  </conditionalFormatting>
  <conditionalFormatting sqref="C34:C35">
    <cfRule type="expression" dxfId="129" priority="26">
      <formula>$C$4="Component Attribute"</formula>
    </cfRule>
  </conditionalFormatting>
  <conditionalFormatting sqref="C17">
    <cfRule type="containsText" dxfId="128" priority="20" operator="containsText" text="&quot; &quot;">
      <formula>NOT(ISERROR(SEARCH(""" """,C17)))</formula>
    </cfRule>
  </conditionalFormatting>
  <conditionalFormatting sqref="D36:D38">
    <cfRule type="cellIs" dxfId="127" priority="19" operator="equal">
      <formula>" "</formula>
    </cfRule>
  </conditionalFormatting>
  <conditionalFormatting sqref="D17">
    <cfRule type="expression" dxfId="126" priority="18">
      <formula>$C$4="Component Attribute"</formula>
    </cfRule>
  </conditionalFormatting>
  <conditionalFormatting sqref="G20">
    <cfRule type="expression" dxfId="125" priority="17">
      <formula>IF($C$4="New Datatype","N",IF($C$4="Change Datatype","N","&lt;Fill In&gt;"))</formula>
    </cfRule>
  </conditionalFormatting>
  <conditionalFormatting sqref="C19">
    <cfRule type="expression" dxfId="124" priority="15">
      <formula>IF($C$4="New Datatype","N",IF($C$4="Change Datatype","N","&lt;Fill In&gt;"))</formula>
    </cfRule>
  </conditionalFormatting>
  <conditionalFormatting sqref="C23">
    <cfRule type="expression" dxfId="123" priority="13">
      <formula>IF($C$4="New Datatype","N",IF($C$4="Change Datatype","N","&lt;Fill In&gt;"))</formula>
    </cfRule>
  </conditionalFormatting>
  <conditionalFormatting sqref="G23">
    <cfRule type="expression" dxfId="122" priority="11">
      <formula>IF($C$4="New Datatype","N",IF($C$4="Change Datatype","N","&lt;Fill In&gt;"))</formula>
    </cfRule>
  </conditionalFormatting>
  <conditionalFormatting sqref="C22">
    <cfRule type="expression" dxfId="121" priority="9">
      <formula>IF($C$4="New Datatype","N",IF($C$4="Change Datatype","N","&lt;Fill In&gt;"))</formula>
    </cfRule>
  </conditionalFormatting>
  <conditionalFormatting sqref="G21">
    <cfRule type="expression" dxfId="120" priority="7">
      <formula>IF($C$4="New Datatype","N",IF($C$4="Change Datatype","N","&lt;Fill In&gt;"))</formula>
    </cfRule>
  </conditionalFormatting>
  <conditionalFormatting sqref="C20">
    <cfRule type="expression" dxfId="119" priority="5">
      <formula>IF($C$4="New Datatype","N",IF($C$4="Change Datatype","N","&lt;Fill In&gt;"))</formula>
    </cfRule>
  </conditionalFormatting>
  <conditionalFormatting sqref="C39">
    <cfRule type="expression" dxfId="118" priority="2">
      <formula>IF($C$3="New Datatype","N",IF($C$3="Change Datatype","N","&lt;Fill In&gt;"))</formula>
    </cfRule>
  </conditionalFormatting>
  <dataValidations xWindow="286" yWindow="546" count="22">
    <dataValidation allowBlank="1" showErrorMessage="1" promptTitle="Add Enumeration Name" prompt="Add enumeration list name if the attribute is open or closed enumerated. " sqref="C18:E18" xr:uid="{00000000-0002-0000-0100-000002000000}"/>
    <dataValidation allowBlank="1" showInputMessage="1" showErrorMessage="1" prompt="If this is a component or complex attribute or if you have specialized selectors, copy and paste as value (not formula) and add row_type, sub-attributes, selectors per requirements." sqref="B42:C52" xr:uid="{00000000-0002-0000-0100-000003000000}"/>
    <dataValidation allowBlank="1" showInputMessage="1" showErrorMessage="1" promptTitle="Listing" prompt="If false, the attribute is populated internally and will not be on the listing experience. If true, this will be added to the listing experience." sqref="B28" xr:uid="{F0C8E5C4-9E56-47CA-9C09-EC4A2A36DD9B}"/>
    <dataValidation allowBlank="1" showInputMessage="1" showErrorMessage="1" promptTitle="Identity Attribute" prompt="If true, then attribute can not differ per asin and can be used as an authoritative matching dimension. Most attributes are FALSE." sqref="B30" xr:uid="{2370D5DA-BE44-4314-80A2-C9C946E7F89E}"/>
    <dataValidation allowBlank="1" showInputMessage="1" showErrorMessage="1" promptTitle="Descriptive" prompt="If True, it is a textual description such as marketing descriptions, warnings, ingredient statements. If True, this attribute is unstructurable." sqref="B31" xr:uid="{BC55122D-8790-4C4E-8BF7-875B68D7E918}"/>
    <dataValidation allowBlank="1" showInputMessage="1" showErrorMessage="1" promptTitle="Add Concept Name" prompt="Add a name for the concept that the attribute is being created for. This is the basis for the attribute name. Concept must be capitalized, no underscores." sqref="C12:D12" xr:uid="{B5D529F7-B005-493A-84A0-55FFE1F977ED}"/>
    <dataValidation allowBlank="1" showInputMessage="1" showErrorMessage="1" promptTitle="Opaque Identifier" prompt="If true, the attributes represents alphanumeric identifiers associated with the product for example model numbers." sqref="B32" xr:uid="{83FE6184-CD51-4F41-B1C3-A0D186DFE0E6}"/>
    <dataValidation allowBlank="1" showInputMessage="1" showErrorMessage="1" promptTitle="Branded" prompt="If true, values of attribute can be brand specific and cannot be globally enumerated for a PT." sqref="B33" xr:uid="{9E46D37D-D244-4715-87A3-A087C514C15F}"/>
    <dataValidation allowBlank="1" showInputMessage="1" showErrorMessage="1" promptTitle="Data Types" prompt="Choose the appropriate data type for the attribute. If new data type, define on the DT_Display Properties Tab." sqref="B14:B15" xr:uid="{B815833B-4197-40FE-85F6-9377FE306738}"/>
    <dataValidation allowBlank="1" showErrorMessage="1" sqref="B1" xr:uid="{BE2C1243-C792-4B56-B995-78896B4F83A4}"/>
    <dataValidation allowBlank="1" showInputMessage="1" showErrorMessage="1" promptTitle="Configurable" prompt="Only TRUE if there is a request in the SIM to make the attribute configurable. TRUE triggers a process to create an additional configurable attribute. " sqref="B35" xr:uid="{155A4E5B-E448-4645-B89B-6BAB63573EC1}"/>
    <dataValidation allowBlank="1" showInputMessage="1" showErrorMessage="1" promptTitle="Replacement" prompt="Only TRUE if this attribute is meant to replace an existing attribute or concept. This is to kick off a check of v2 and RTIP attributes to determine if there is a naming collision." sqref="B36" xr:uid="{9404D4F6-87CB-48FA-8417-66D6D96A43E4}"/>
    <dataValidation allowBlank="1" showInputMessage="1" showErrorMessage="1" prompt="If Is Replacement Attribute is True, then it is required that you enter the attribute being replaced." sqref="D35" xr:uid="{B2024D33-DAE7-488C-B53E-D8219F329C23}"/>
    <dataValidation allowBlank="1" showInputMessage="1" showErrorMessage="1" prompt="Fill out Enumeration Name,  whether it is open or closed and whether it is new. If attribute is not enumerated enter Not Applicable." sqref="B16:B17" xr:uid="{041610EA-2581-4B75-9BCF-07AD91F5E5C8}"/>
    <dataValidation allowBlank="1" showInputMessage="1" showErrorMessage="1" promptTitle="Subtype" prompt="Determines whether this attribute is classified as a subtype according to subtype tenets. Subtype attributes can only be SymbolVariants." sqref="B37" xr:uid="{2FCFBC78-9301-4477-A217-679803F784D3}"/>
    <dataValidation allowBlank="1" showInputMessage="1" showErrorMessage="1" promptTitle="Refinement Candidate" prompt="An attribute that has the potential to be used in a taxonomy refinement. Refinements are used for customers to narrow the onsite product selection." sqref="B34" xr:uid="{437C0502-3F03-4C70-99D3-15C2024F1D97}"/>
    <dataValidation allowBlank="1" showInputMessage="1" showErrorMessage="1" promptTitle="Global Status" prompt="Determines whether the attributes value applies globally (doesnt change per marketplace) or is considered to be a marketplace specific concept." sqref="B38" xr:uid="{0E7A6136-2C97-4ACA-95B2-A6445993AF4E}"/>
    <dataValidation allowBlank="1" showInputMessage="1" showErrorMessage="1" promptTitle="Reconciliation" prompt="Determines how attribute will be reconciled for example simple preferences (highest rated contributor) or union all (multiple winning contributions)." sqref="B27" xr:uid="{973A42F4-B702-4CD7-B5E3-EB7E4014B730}"/>
    <dataValidation allowBlank="1" showInputMessage="1" showErrorMessage="1" promptTitle="Visibility" prompt="Whether the attribute applies to the item, offer (e.g. price) or both the item or offer." sqref="B26" xr:uid="{6BA9508F-022B-4E20-B43E-0BAA23B9D895}"/>
    <dataValidation allowBlank="1" showInputMessage="1" showErrorMessage="1" promptTitle="Attribute Listing Group" prompt="Enter the group of attributes that the attribute will be grouped with on the template. The default for product attributes is product_details." sqref="D27" xr:uid="{355DBDA7-228F-4894-A38C-5259E13AAD64}"/>
    <dataValidation operator="lessThanOrEqual" allowBlank="1" showDropDown="1" showInputMessage="1" showErrorMessage="1" errorTitle="Name too long" error="The enumeration name exceeds 30 characters. Please shorten." sqref="C17" xr:uid="{F9B43E39-B059-44D0-84D2-AA9F8939FE49}"/>
    <dataValidation allowBlank="1" showInputMessage="1" showErrorMessage="1" promptTitle="CX" prompt="If false, the attribute is only used for Amazon internal processing and will not be visible to the Customer (CX). " sqref="B29" xr:uid="{BAF670D8-A358-48E0-9351-D0ACA7F6A671}"/>
  </dataValidations>
  <hyperlinks>
    <hyperlink ref="C15:D15" r:id="rId1" display="SymbolVariant@1.0" xr:uid="{618034B0-425A-4841-ABC5-9B7CAD1E4235}"/>
    <hyperlink ref="C15" r:id="rId2" display="UnitDecimalRangeVariant@1.0" xr:uid="{CEEBD4DD-DAD2-4DF2-A1BA-713EDE41EA88}"/>
    <hyperlink ref="C3" r:id="rId3" xr:uid="{4B3893DC-5B91-B047-823F-5133A904C95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6" r:id="rId7" name="Button 12">
              <controlPr defaultSize="0" print="0" autoFill="0" autoPict="0" macro="[0]!Button10_Click">
                <anchor moveWithCells="1">
                  <from>
                    <xdr:col>4</xdr:col>
                    <xdr:colOff>228600</xdr:colOff>
                    <xdr:row>0</xdr:row>
                    <xdr:rowOff>368300</xdr:rowOff>
                  </from>
                  <to>
                    <xdr:col>4</xdr:col>
                    <xdr:colOff>812800</xdr:colOff>
                    <xdr:row>0</xdr:row>
                    <xdr:rowOff>596900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 id="{2A2E431F-1B42-46A8-AFD8-035E2ECDB050}">
            <xm:f>contype!$M$3="N"</xm:f>
            <x14:dxf>
              <fill>
                <patternFill>
                  <bgColor theme="1"/>
                </patternFill>
              </fill>
            </x14:dxf>
          </x14:cfRule>
          <xm:sqref>D25</xm:sqref>
        </x14:conditionalFormatting>
        <x14:conditionalFormatting xmlns:xm="http://schemas.microsoft.com/office/excel/2006/main">
          <x14:cfRule type="expression" priority="66" id="{24A3557E-A5CE-4F1C-9668-702051F088B9}">
            <xm:f>contype!$M$3="N"</xm:f>
            <x14:dxf>
              <fill>
                <patternFill>
                  <bgColor theme="1"/>
                </patternFill>
              </fill>
            </x14:dxf>
          </x14:cfRule>
          <xm:sqref>C21</xm:sqref>
        </x14:conditionalFormatting>
        <x14:conditionalFormatting xmlns:xm="http://schemas.microsoft.com/office/excel/2006/main">
          <x14:cfRule type="expression" priority="60" id="{B825DDED-3ED9-47D5-BCCB-7D0B8D403406}">
            <xm:f>contype!$M$3="N"</xm:f>
            <x14:dxf>
              <fill>
                <patternFill>
                  <bgColor theme="1"/>
                </patternFill>
              </fill>
            </x14:dxf>
          </x14:cfRule>
          <xm:sqref>C25</xm:sqref>
        </x14:conditionalFormatting>
        <x14:conditionalFormatting xmlns:xm="http://schemas.microsoft.com/office/excel/2006/main">
          <x14:cfRule type="expression" priority="56" id="{ECAF05DF-8DC8-424B-A996-2F74047B00B2}">
            <xm:f>contype!$M$3="N"</xm:f>
            <x14:dxf>
              <fill>
                <patternFill>
                  <bgColor theme="1"/>
                </patternFill>
              </fill>
            </x14:dxf>
          </x14:cfRule>
          <xm:sqref>C26</xm:sqref>
        </x14:conditionalFormatting>
        <x14:conditionalFormatting xmlns:xm="http://schemas.microsoft.com/office/excel/2006/main">
          <x14:cfRule type="expression" priority="54" id="{51F6476E-FD0C-4FCF-BF1E-1E0403630B76}">
            <xm:f>contype!$M$3="N"</xm:f>
            <x14:dxf>
              <fill>
                <patternFill>
                  <bgColor theme="1"/>
                </patternFill>
              </fill>
            </x14:dxf>
          </x14:cfRule>
          <xm:sqref>C27</xm:sqref>
        </x14:conditionalFormatting>
        <x14:conditionalFormatting xmlns:xm="http://schemas.microsoft.com/office/excel/2006/main">
          <x14:cfRule type="expression" priority="16" id="{D2E2859D-FA42-4CAB-B944-E2704CE4D1CE}">
            <xm:f>contype!$M$3="N"</xm:f>
            <x14:dxf>
              <fill>
                <patternFill>
                  <bgColor theme="1"/>
                </patternFill>
              </fill>
            </x14:dxf>
          </x14:cfRule>
          <xm:sqref>G20</xm:sqref>
        </x14:conditionalFormatting>
        <x14:conditionalFormatting xmlns:xm="http://schemas.microsoft.com/office/excel/2006/main">
          <x14:cfRule type="expression" priority="14" id="{E6210F29-E2CA-4074-928F-C64F53A65C3E}">
            <xm:f>contype!$M$3="N"</xm:f>
            <x14:dxf>
              <fill>
                <patternFill>
                  <bgColor theme="1"/>
                </patternFill>
              </fill>
            </x14:dxf>
          </x14:cfRule>
          <xm:sqref>C19</xm:sqref>
        </x14:conditionalFormatting>
        <x14:conditionalFormatting xmlns:xm="http://schemas.microsoft.com/office/excel/2006/main">
          <x14:cfRule type="expression" priority="12" id="{E84F963E-899A-4932-8671-D16AFF323732}">
            <xm:f>contype!$M$3="N"</xm:f>
            <x14:dxf>
              <fill>
                <patternFill>
                  <bgColor theme="1"/>
                </patternFill>
              </fill>
            </x14:dxf>
          </x14:cfRule>
          <xm:sqref>C23</xm:sqref>
        </x14:conditionalFormatting>
        <x14:conditionalFormatting xmlns:xm="http://schemas.microsoft.com/office/excel/2006/main">
          <x14:cfRule type="expression" priority="10" id="{2FC120CD-46F2-4376-A81D-48B20766660E}">
            <xm:f>contype!$M$3="N"</xm:f>
            <x14:dxf>
              <fill>
                <patternFill>
                  <bgColor theme="1"/>
                </patternFill>
              </fill>
            </x14:dxf>
          </x14:cfRule>
          <xm:sqref>G23</xm:sqref>
        </x14:conditionalFormatting>
        <x14:conditionalFormatting xmlns:xm="http://schemas.microsoft.com/office/excel/2006/main">
          <x14:cfRule type="expression" priority="8" id="{838D1303-BAC8-4DB5-9B70-5F1DA255058B}">
            <xm:f>contype!$M$3="N"</xm:f>
            <x14:dxf>
              <fill>
                <patternFill>
                  <bgColor theme="1"/>
                </patternFill>
              </fill>
            </x14:dxf>
          </x14:cfRule>
          <xm:sqref>C22</xm:sqref>
        </x14:conditionalFormatting>
        <x14:conditionalFormatting xmlns:xm="http://schemas.microsoft.com/office/excel/2006/main">
          <x14:cfRule type="expression" priority="6" id="{636DE680-D4AD-4985-9C89-40A895012E2B}">
            <xm:f>contype!$M$3="N"</xm:f>
            <x14:dxf>
              <fill>
                <patternFill>
                  <bgColor theme="1"/>
                </patternFill>
              </fill>
            </x14:dxf>
          </x14:cfRule>
          <xm:sqref>G21</xm:sqref>
        </x14:conditionalFormatting>
        <x14:conditionalFormatting xmlns:xm="http://schemas.microsoft.com/office/excel/2006/main">
          <x14:cfRule type="expression" priority="4" id="{C1735A85-6F9B-4934-8115-1187CEDFE9B4}">
            <xm:f>contype!$M$3="N"</xm:f>
            <x14:dxf>
              <fill>
                <patternFill>
                  <bgColor theme="1"/>
                </patternFill>
              </fill>
            </x14:dxf>
          </x14:cfRule>
          <xm:sqref>C20</xm:sqref>
        </x14:conditionalFormatting>
        <x14:conditionalFormatting xmlns:xm="http://schemas.microsoft.com/office/excel/2006/main">
          <x14:cfRule type="expression" priority="1" id="{8E3D72D3-D147-194B-A3D9-0AF4CE851962}">
            <xm:f>contype!$M$3="N"</xm:f>
            <x14:dxf>
              <fill>
                <patternFill>
                  <bgColor theme="1"/>
                </patternFill>
              </fill>
            </x14:dxf>
          </x14:cfRule>
          <xm:sqref>C39</xm:sqref>
        </x14:conditionalFormatting>
      </x14:conditionalFormattings>
    </ext>
    <ext xmlns:x14="http://schemas.microsoft.com/office/spreadsheetml/2009/9/main" uri="{CCE6A557-97BC-4b89-ADB6-D9C93CAAB3DF}">
      <x14:dataValidations xmlns:xm="http://schemas.microsoft.com/office/excel/2006/main" xWindow="286" yWindow="546" count="12">
        <x14:dataValidation type="list" allowBlank="1" showInputMessage="1" showErrorMessage="1" xr:uid="{00000000-0002-0000-0100-000004000000}">
          <x14:formula1>
            <xm:f>contype!$C$1:$C$2</xm:f>
          </x14:formula1>
          <xm:sqref>E15</xm:sqref>
        </x14:dataValidation>
        <x14:dataValidation type="list" allowBlank="1" showInputMessage="1" showErrorMessage="1" xr:uid="{00000000-0002-0000-0100-000006000000}">
          <x14:formula1>
            <xm:f>contype!$B$1:$B$2</xm:f>
          </x14:formula1>
          <xm:sqref>C25</xm:sqref>
        </x14:dataValidation>
        <x14:dataValidation type="list" allowBlank="1" showInputMessage="1" showErrorMessage="1" xr:uid="{00000000-0002-0000-0100-000009000000}">
          <x14:formula1>
            <xm:f>contype!$H$2:$H$9</xm:f>
          </x14:formula1>
          <xm:sqref>C4</xm:sqref>
        </x14:dataValidation>
        <x14:dataValidation type="list" allowBlank="1" showInputMessage="1" showErrorMessage="1" xr:uid="{00000000-0002-0000-0100-00000A000000}">
          <x14:formula1>
            <xm:f>contype!$L$2:$L$3</xm:f>
          </x14:formula1>
          <xm:sqref>C36:C37</xm:sqref>
        </x14:dataValidation>
        <x14:dataValidation type="list" allowBlank="1" showInputMessage="1" showErrorMessage="1" xr:uid="{478999B0-CEB7-490B-A1E9-99800D57EA38}">
          <x14:formula1>
            <xm:f>contype!$O$2:$O$4</xm:f>
          </x14:formula1>
          <xm:sqref>C26</xm:sqref>
        </x14:dataValidation>
        <x14:dataValidation type="list" allowBlank="1" showInputMessage="1" showErrorMessage="1" xr:uid="{BE243D6C-0ED5-4FB5-9CDA-7868CA8B8762}">
          <x14:formula1>
            <xm:f>contype!$C$1:$C$4</xm:f>
          </x14:formula1>
          <xm:sqref>E17</xm:sqref>
        </x14:dataValidation>
        <x14:dataValidation type="list" allowBlank="1" showInputMessage="1" showErrorMessage="1" xr:uid="{00000000-0002-0000-0100-000007000000}">
          <x14:formula1>
            <xm:f>contype!$K$2:$K$4</xm:f>
          </x14:formula1>
          <xm:sqref>C27</xm:sqref>
        </x14:dataValidation>
        <x14:dataValidation type="list" allowBlank="1" showInputMessage="1" showErrorMessage="1" xr:uid="{242B86D8-5657-4A16-BE3A-312D38EF4D8F}">
          <x14:formula1>
            <xm:f>contype!$T$2:$T$5</xm:f>
          </x14:formula1>
          <xm:sqref>C38</xm:sqref>
        </x14:dataValidation>
        <x14:dataValidation type="list" allowBlank="1" showInputMessage="1" showErrorMessage="1" xr:uid="{22FCA4BC-63CA-48D4-B92D-D9429A36F92C}">
          <x14:formula1>
            <xm:f>contype!$W$2:$W$11</xm:f>
          </x14:formula1>
          <xm:sqref>D28</xm:sqref>
        </x14:dataValidation>
        <x14:dataValidation type="list" allowBlank="1" showInputMessage="1" showErrorMessage="1" xr:uid="{4F814AA6-3425-4991-9CB3-21A28AD8BAA1}">
          <x14:formula1>
            <xm:f>contype!$E$2:$E$35</xm:f>
          </x14:formula1>
          <xm:sqref>C15:D15</xm:sqref>
        </x14:dataValidation>
        <x14:dataValidation type="list" allowBlank="1" showInputMessage="1" showErrorMessage="1" xr:uid="{AA7D68E4-4105-4489-A5CE-661841642A66}">
          <x14:formula1>
            <xm:f>contype!$L$2:$L$4</xm:f>
          </x14:formula1>
          <xm:sqref>C30:C35 C28</xm:sqref>
        </x14:dataValidation>
        <x14:dataValidation type="list" allowBlank="1" showInputMessage="1" showErrorMessage="1" xr:uid="{A2174E25-855B-4D27-A9BA-8E9BC1AED197}">
          <x14:formula1>
            <xm:f>contype!$D1:$D3</xm:f>
          </x14:formula1>
          <xm:sqref>D17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C3D06-1279-4C2C-978A-E8DD50D8EC89}">
  <sheetPr codeName="Sheet3"/>
  <dimension ref="A1:I51"/>
  <sheetViews>
    <sheetView topLeftCell="A10" workbookViewId="0">
      <selection activeCell="G24" sqref="G24"/>
    </sheetView>
  </sheetViews>
  <sheetFormatPr baseColWidth="10" defaultColWidth="8.83203125" defaultRowHeight="15" x14ac:dyDescent="0.2"/>
  <cols>
    <col min="1" max="1" width="33.1640625" customWidth="1"/>
    <col min="2" max="2" width="41.5" customWidth="1"/>
    <col min="3" max="3" width="22.6640625" customWidth="1"/>
    <col min="4" max="4" width="28.5" customWidth="1"/>
    <col min="5" max="5" width="10.5" customWidth="1"/>
    <col min="6" max="7" width="8.6640625" customWidth="1"/>
    <col min="8" max="8" width="18" hidden="1" customWidth="1"/>
    <col min="9" max="9" width="20.83203125" customWidth="1"/>
    <col min="10" max="10" width="8.6640625" customWidth="1"/>
  </cols>
  <sheetData>
    <row r="1" spans="1:9" ht="20" thickBot="1" x14ac:dyDescent="0.3">
      <c r="A1" s="18" t="s">
        <v>14</v>
      </c>
      <c r="B1" s="59" t="s">
        <v>146</v>
      </c>
    </row>
    <row r="2" spans="1:9" ht="17" thickBot="1" x14ac:dyDescent="0.25">
      <c r="A2" s="7" t="s">
        <v>15</v>
      </c>
      <c r="B2" s="41" t="s">
        <v>163</v>
      </c>
    </row>
    <row r="3" spans="1:9" ht="17" thickBot="1" x14ac:dyDescent="0.25">
      <c r="A3" s="5" t="s">
        <v>16</v>
      </c>
      <c r="B3" s="121" t="str">
        <f>_xlfn.CONCAT("[",Attribute!G20,",",H11,"]")</f>
        <v>[minimum_required_operating_system_version,shape_size]</v>
      </c>
      <c r="C3" s="120"/>
    </row>
    <row r="4" spans="1:9" ht="17" thickBot="1" x14ac:dyDescent="0.25">
      <c r="A4" s="110" t="s">
        <v>17</v>
      </c>
      <c r="B4" s="158" t="s">
        <v>18</v>
      </c>
      <c r="C4" s="122" t="s">
        <v>19</v>
      </c>
      <c r="D4" s="38" t="s">
        <v>19</v>
      </c>
    </row>
    <row r="5" spans="1:9" ht="17" thickBot="1" x14ac:dyDescent="0.25">
      <c r="A5" s="111"/>
      <c r="B5" s="159" t="s">
        <v>139</v>
      </c>
      <c r="C5" s="159" t="s">
        <v>21</v>
      </c>
      <c r="D5" s="27" t="s">
        <v>21</v>
      </c>
    </row>
    <row r="6" spans="1:9" ht="16" x14ac:dyDescent="0.2">
      <c r="A6" s="144" t="s">
        <v>22</v>
      </c>
      <c r="B6" s="11" t="s">
        <v>18</v>
      </c>
      <c r="C6" s="11" t="s">
        <v>23</v>
      </c>
      <c r="D6" s="39" t="s">
        <v>19</v>
      </c>
    </row>
    <row r="7" spans="1:9" ht="17" thickBot="1" x14ac:dyDescent="0.25">
      <c r="A7" s="145"/>
      <c r="B7" s="47"/>
      <c r="C7" s="48" t="s">
        <v>89</v>
      </c>
      <c r="D7" s="27" t="str">
        <f>IF(B7="Not Applicable","Not Applicable","New")</f>
        <v>New</v>
      </c>
    </row>
    <row r="8" spans="1:9" ht="24.5" customHeight="1" thickBot="1" x14ac:dyDescent="0.25">
      <c r="A8" s="28" t="s">
        <v>26</v>
      </c>
      <c r="B8" s="125" t="str">
        <f>IF(B5="LocalizedString@1.0","language_tag","")</f>
        <v/>
      </c>
      <c r="C8" s="126"/>
      <c r="D8" s="127"/>
    </row>
    <row r="9" spans="1:9" ht="23.5" customHeight="1" x14ac:dyDescent="0.2">
      <c r="A9" s="28" t="s">
        <v>27</v>
      </c>
      <c r="B9" s="27" t="str">
        <f>_xlfn.CONCAT(Attribute!G20,"_",H11)</f>
        <v>minimum_required_operating_system_version_shape_size</v>
      </c>
      <c r="C9" s="138"/>
      <c r="D9" s="139"/>
      <c r="H9" t="str">
        <f>LOWER(B2)</f>
        <v>shape size</v>
      </c>
    </row>
    <row r="10" spans="1:9" ht="20" customHeight="1" thickBot="1" x14ac:dyDescent="0.25">
      <c r="A10" s="29" t="s">
        <v>28</v>
      </c>
      <c r="B10" s="27" t="str">
        <f>VLOOKUP(B5,V2AttrType!A1:B29,2,FALSE)</f>
        <v>subfield</v>
      </c>
      <c r="C10" s="140"/>
      <c r="D10" s="141"/>
      <c r="H10" t="str">
        <f>LOWER(B2)</f>
        <v>shape size</v>
      </c>
    </row>
    <row r="11" spans="1:9" ht="23" customHeight="1" thickBot="1" x14ac:dyDescent="0.25">
      <c r="A11" s="29" t="s">
        <v>29</v>
      </c>
      <c r="B11" s="27" t="str">
        <f>+B9</f>
        <v>minimum_required_operating_system_version_shape_size</v>
      </c>
      <c r="C11" s="140"/>
      <c r="D11" s="141"/>
      <c r="H11" t="str">
        <f>SUBSTITUTE(H10," ","_")</f>
        <v>shape_size</v>
      </c>
    </row>
    <row r="12" spans="1:9" ht="26" customHeight="1" thickBot="1" x14ac:dyDescent="0.25">
      <c r="A12" s="5" t="s">
        <v>30</v>
      </c>
      <c r="B12" s="27" t="str">
        <f>IF(AND(H12="string",Constraint!H5&gt;1),"array_string",H12)</f>
        <v>array_string</v>
      </c>
      <c r="C12" s="140"/>
      <c r="D12" s="141"/>
      <c r="H12" s="58" t="str">
        <f>VLOOKUP($B$5,RTIP!A1:B30,2,FALSE)</f>
        <v>string</v>
      </c>
      <c r="I12" s="58"/>
    </row>
    <row r="13" spans="1:9" ht="23.5" customHeight="1" thickBot="1" x14ac:dyDescent="0.25">
      <c r="A13" s="29" t="s">
        <v>31</v>
      </c>
      <c r="B13" s="27" t="s">
        <v>32</v>
      </c>
      <c r="C13" s="142"/>
      <c r="D13" s="160"/>
      <c r="H13" t="str">
        <f>IFERROR(B12,"Error")</f>
        <v>array_string</v>
      </c>
    </row>
    <row r="14" spans="1:9" ht="17" thickBot="1" x14ac:dyDescent="0.25">
      <c r="A14" s="112" t="s">
        <v>33</v>
      </c>
      <c r="B14" s="31" t="s">
        <v>34</v>
      </c>
      <c r="C14" s="11" t="s">
        <v>35</v>
      </c>
      <c r="D14" s="161"/>
    </row>
    <row r="15" spans="1:9" ht="17" thickBot="1" x14ac:dyDescent="0.25">
      <c r="A15" s="113"/>
      <c r="B15" s="27" t="s">
        <v>36</v>
      </c>
      <c r="C15" s="27" t="str">
        <f>IF(B15="Yes","normalized:true,  reconciled:true","N/A")</f>
        <v>N/A</v>
      </c>
      <c r="D15" s="162"/>
    </row>
    <row r="16" spans="1:9" ht="22" customHeight="1" thickBot="1" x14ac:dyDescent="0.25">
      <c r="A16" s="29" t="s">
        <v>37</v>
      </c>
      <c r="B16" s="27" t="s">
        <v>38</v>
      </c>
      <c r="C16" s="150"/>
      <c r="D16" s="163"/>
    </row>
    <row r="17" spans="1:4" ht="22.5" customHeight="1" thickBot="1" x14ac:dyDescent="0.25">
      <c r="A17" s="29" t="s">
        <v>39</v>
      </c>
      <c r="B17" s="27" t="s">
        <v>40</v>
      </c>
      <c r="C17" s="164"/>
      <c r="D17" s="165"/>
    </row>
    <row r="18" spans="1:4" ht="17" customHeight="1" thickBot="1" x14ac:dyDescent="0.25">
      <c r="A18" s="29" t="s">
        <v>196</v>
      </c>
      <c r="B18" s="27" t="b">
        <v>1</v>
      </c>
      <c r="C18" s="164"/>
      <c r="D18" s="165"/>
    </row>
    <row r="19" spans="1:4" ht="17" customHeight="1" thickBot="1" x14ac:dyDescent="0.25">
      <c r="A19" s="29" t="s">
        <v>198</v>
      </c>
      <c r="B19" s="27" t="b">
        <v>0</v>
      </c>
      <c r="C19" s="164"/>
      <c r="D19" s="165"/>
    </row>
    <row r="20" spans="1:4" ht="19" customHeight="1" thickBot="1" x14ac:dyDescent="0.25">
      <c r="A20" s="29" t="s">
        <v>41</v>
      </c>
      <c r="B20" s="48" t="b">
        <v>0</v>
      </c>
      <c r="C20" s="164"/>
      <c r="D20" s="165"/>
    </row>
    <row r="21" spans="1:4" ht="19.5" customHeight="1" thickBot="1" x14ac:dyDescent="0.25">
      <c r="A21" s="29" t="s">
        <v>42</v>
      </c>
      <c r="B21" s="48" t="b">
        <v>1</v>
      </c>
      <c r="C21" s="164"/>
      <c r="D21" s="165"/>
    </row>
    <row r="22" spans="1:4" ht="19.5" customHeight="1" thickBot="1" x14ac:dyDescent="0.25">
      <c r="A22" s="29" t="s">
        <v>155</v>
      </c>
      <c r="B22" s="48" t="b">
        <v>0</v>
      </c>
      <c r="C22" s="164"/>
      <c r="D22" s="165"/>
    </row>
    <row r="23" spans="1:4" ht="15" customHeight="1" thickBot="1" x14ac:dyDescent="0.25">
      <c r="A23" s="29" t="s">
        <v>43</v>
      </c>
      <c r="B23" s="27" t="b">
        <v>1</v>
      </c>
      <c r="C23" s="164"/>
      <c r="D23" s="165"/>
    </row>
    <row r="24" spans="1:4" ht="15.5" customHeight="1" thickBot="1" x14ac:dyDescent="0.25">
      <c r="A24" s="29" t="s">
        <v>44</v>
      </c>
      <c r="B24" s="27" t="b">
        <v>0</v>
      </c>
      <c r="C24" s="164"/>
      <c r="D24" s="165"/>
    </row>
    <row r="25" spans="1:4" ht="15.5" customHeight="1" thickBot="1" x14ac:dyDescent="0.25">
      <c r="A25" s="29" t="s">
        <v>148</v>
      </c>
      <c r="B25" s="27" t="b">
        <v>0</v>
      </c>
      <c r="C25" s="86" t="s">
        <v>156</v>
      </c>
      <c r="D25" s="146"/>
    </row>
    <row r="26" spans="1:4" ht="15.5" customHeight="1" thickBot="1" x14ac:dyDescent="0.25">
      <c r="A26" s="29" t="s">
        <v>154</v>
      </c>
      <c r="B26" s="27" t="b">
        <v>0</v>
      </c>
      <c r="C26" s="47"/>
      <c r="D26" s="146"/>
    </row>
    <row r="27" spans="1:4" ht="15.5" customHeight="1" thickBot="1" x14ac:dyDescent="0.25">
      <c r="A27" s="29" t="s">
        <v>165</v>
      </c>
      <c r="B27" s="27" t="b">
        <v>0</v>
      </c>
      <c r="C27" s="150"/>
      <c r="D27" s="146"/>
    </row>
    <row r="28" spans="1:4" ht="14.5" customHeight="1" thickBot="1" x14ac:dyDescent="0.25">
      <c r="A28" s="29" t="s">
        <v>45</v>
      </c>
      <c r="B28" s="27" t="str">
        <f>_xlfn.CONCAT(Attribute!C12," ",B2)</f>
        <v>minimum_required_operating_system_version Shape Size</v>
      </c>
      <c r="C28" s="148"/>
      <c r="D28" s="149"/>
    </row>
    <row r="30" spans="1:4" ht="16" x14ac:dyDescent="0.2">
      <c r="A30" s="7" t="s">
        <v>150</v>
      </c>
    </row>
    <row r="31" spans="1:4" x14ac:dyDescent="0.2">
      <c r="A31" s="132" t="str">
        <f>VLOOKUP(B5,contype!G2:S12,13,TRUE)</f>
        <v>{
ccp_attribute_name:[
minimum_required_operating_system_version,
shape_size
],
 nested_table:{
    row_type:'SymbolStruct@1.0',
    selector:[
        ]
 }
}</v>
      </c>
      <c r="B31" s="133"/>
    </row>
    <row r="32" spans="1:4" x14ac:dyDescent="0.2">
      <c r="A32" s="134"/>
      <c r="B32" s="135"/>
      <c r="C32" s="49"/>
    </row>
    <row r="33" spans="1:2" x14ac:dyDescent="0.2">
      <c r="A33" s="134"/>
      <c r="B33" s="135"/>
    </row>
    <row r="34" spans="1:2" x14ac:dyDescent="0.2">
      <c r="A34" s="134"/>
      <c r="B34" s="135"/>
    </row>
    <row r="35" spans="1:2" x14ac:dyDescent="0.2">
      <c r="A35" s="134"/>
      <c r="B35" s="135"/>
    </row>
    <row r="36" spans="1:2" x14ac:dyDescent="0.2">
      <c r="A36" s="134"/>
      <c r="B36" s="135"/>
    </row>
    <row r="37" spans="1:2" x14ac:dyDescent="0.2">
      <c r="A37" s="134"/>
      <c r="B37" s="135"/>
    </row>
    <row r="38" spans="1:2" x14ac:dyDescent="0.2">
      <c r="A38" s="134"/>
      <c r="B38" s="135"/>
    </row>
    <row r="39" spans="1:2" x14ac:dyDescent="0.2">
      <c r="A39" s="134"/>
      <c r="B39" s="135"/>
    </row>
    <row r="40" spans="1:2" x14ac:dyDescent="0.2">
      <c r="A40" s="134"/>
      <c r="B40" s="135"/>
    </row>
    <row r="41" spans="1:2" ht="73.5" customHeight="1" x14ac:dyDescent="0.2">
      <c r="A41" s="136"/>
      <c r="B41" s="137"/>
    </row>
    <row r="43" spans="1:2" x14ac:dyDescent="0.2">
      <c r="A43" s="42" t="s">
        <v>46</v>
      </c>
      <c r="B43" s="43"/>
    </row>
    <row r="44" spans="1:2" x14ac:dyDescent="0.2">
      <c r="A44" s="152" t="s">
        <v>147</v>
      </c>
      <c r="B44" s="153"/>
    </row>
    <row r="45" spans="1:2" x14ac:dyDescent="0.2">
      <c r="A45" s="154"/>
      <c r="B45" s="155"/>
    </row>
    <row r="46" spans="1:2" x14ac:dyDescent="0.2">
      <c r="A46" s="154"/>
      <c r="B46" s="155"/>
    </row>
    <row r="47" spans="1:2" x14ac:dyDescent="0.2">
      <c r="A47" s="154"/>
      <c r="B47" s="155"/>
    </row>
    <row r="48" spans="1:2" x14ac:dyDescent="0.2">
      <c r="A48" s="154"/>
      <c r="B48" s="155"/>
    </row>
    <row r="49" spans="1:2" x14ac:dyDescent="0.2">
      <c r="A49" s="154"/>
      <c r="B49" s="155"/>
    </row>
    <row r="50" spans="1:2" x14ac:dyDescent="0.2">
      <c r="A50" s="154"/>
      <c r="B50" s="155"/>
    </row>
    <row r="51" spans="1:2" x14ac:dyDescent="0.2">
      <c r="A51" s="156"/>
      <c r="B51" s="157"/>
    </row>
  </sheetData>
  <mergeCells count="14">
    <mergeCell ref="A44:B51"/>
    <mergeCell ref="A31:B41"/>
    <mergeCell ref="B3:C3"/>
    <mergeCell ref="A4:A5"/>
    <mergeCell ref="B4:C4"/>
    <mergeCell ref="B5:C5"/>
    <mergeCell ref="A6:A7"/>
    <mergeCell ref="B8:D8"/>
    <mergeCell ref="C9:D13"/>
    <mergeCell ref="A14:A15"/>
    <mergeCell ref="D14:D15"/>
    <mergeCell ref="C16:D24"/>
    <mergeCell ref="D25:D28"/>
    <mergeCell ref="C27:C28"/>
  </mergeCells>
  <conditionalFormatting sqref="B9:C9">
    <cfRule type="expression" dxfId="104" priority="38">
      <formula>IF($C$3="New Datatype","N",IF($C$3="Change Datatype","N","&lt;Fill In&gt;"))</formula>
    </cfRule>
  </conditionalFormatting>
  <conditionalFormatting sqref="B11">
    <cfRule type="expression" dxfId="103" priority="34">
      <formula>IF($C$3="New Datatype","N",IF($C$3="Change Datatype","N","&lt;Fill In&gt;"))</formula>
    </cfRule>
  </conditionalFormatting>
  <conditionalFormatting sqref="B12">
    <cfRule type="expression" dxfId="102" priority="32">
      <formula>IF($C$3="New Datatype","N",IF($C$3="Change Datatype","N","&lt;Fill In&gt;"))</formula>
    </cfRule>
  </conditionalFormatting>
  <conditionalFormatting sqref="B13">
    <cfRule type="expression" dxfId="101" priority="30">
      <formula>IF($C$3="New Datatype","N",IF($C$3="Change Datatype","N","&lt;Fill In&gt;"))</formula>
    </cfRule>
  </conditionalFormatting>
  <conditionalFormatting sqref="B15">
    <cfRule type="expression" dxfId="100" priority="28">
      <formula>IF($C$3="New Datatype","N",IF($C$3="Change Datatype","N","&lt;Fill In&gt;"))</formula>
    </cfRule>
  </conditionalFormatting>
  <conditionalFormatting sqref="C15">
    <cfRule type="expression" dxfId="99" priority="26">
      <formula>IF($C$3="New Datatype","N",IF($C$3="Change Datatype","N","&lt;Fill In&gt;"))</formula>
    </cfRule>
  </conditionalFormatting>
  <conditionalFormatting sqref="B16">
    <cfRule type="expression" dxfId="98" priority="24">
      <formula>IF($C$3="New Datatype","N",IF($C$3="Change Datatype","N","&lt;Fill In&gt;"))</formula>
    </cfRule>
  </conditionalFormatting>
  <conditionalFormatting sqref="B17">
    <cfRule type="expression" dxfId="97" priority="22">
      <formula>IF($C$3="New Datatype","N",IF($C$3="Change Datatype","N","&lt;Fill In&gt;"))</formula>
    </cfRule>
  </conditionalFormatting>
  <conditionalFormatting sqref="B18:B19">
    <cfRule type="expression" dxfId="96" priority="20">
      <formula>IF($C$3="New Datatype","N",IF($C$3="Change Datatype","N","&lt;Fill In&gt;"))</formula>
    </cfRule>
  </conditionalFormatting>
  <conditionalFormatting sqref="B20">
    <cfRule type="expression" dxfId="95" priority="16">
      <formula>IF($C$3="New Datatype","N",IF($C$3="Change Datatype","N","&lt;Fill In&gt;"))</formula>
    </cfRule>
  </conditionalFormatting>
  <conditionalFormatting sqref="B28">
    <cfRule type="expression" dxfId="94" priority="18">
      <formula>IF($C$3="New Datatype","N",IF($C$3="Change Datatype","N","&lt;Fill In&gt;"))</formula>
    </cfRule>
  </conditionalFormatting>
  <conditionalFormatting sqref="B21:B22">
    <cfRule type="expression" dxfId="93" priority="14">
      <formula>IF($C$3="New Datatype","N",IF($C$3="Change Datatype","N","&lt;Fill In&gt;"))</formula>
    </cfRule>
  </conditionalFormatting>
  <conditionalFormatting sqref="B23">
    <cfRule type="expression" dxfId="92" priority="12">
      <formula>IF($C$3="New Datatype","N",IF($C$3="Change Datatype","N","&lt;Fill In&gt;"))</formula>
    </cfRule>
  </conditionalFormatting>
  <conditionalFormatting sqref="B24:B27">
    <cfRule type="expression" dxfId="91" priority="10">
      <formula>IF($C$3="New Datatype","N",IF($C$3="Change Datatype","N","&lt;Fill In&gt;"))</formula>
    </cfRule>
  </conditionalFormatting>
  <conditionalFormatting sqref="B10">
    <cfRule type="expression" dxfId="90" priority="8">
      <formula>IF($C$3="New Datatype","N",IF($C$3="Change Datatype","N","&lt;Fill In&gt;"))</formula>
    </cfRule>
  </conditionalFormatting>
  <conditionalFormatting sqref="B7">
    <cfRule type="containsText" dxfId="89" priority="6" operator="containsText" text="&quot; &quot;">
      <formula>NOT(ISERROR(SEARCH(""" """,B7)))</formula>
    </cfRule>
  </conditionalFormatting>
  <conditionalFormatting sqref="C7">
    <cfRule type="expression" dxfId="88" priority="3">
      <formula>$C$3="Component Attribute"</formula>
    </cfRule>
  </conditionalFormatting>
  <conditionalFormatting sqref="D7">
    <cfRule type="expression" dxfId="87" priority="2">
      <formula>$C$3="Component Attribute"</formula>
    </cfRule>
  </conditionalFormatting>
  <conditionalFormatting sqref="C26:C27">
    <cfRule type="cellIs" dxfId="86" priority="1" operator="equal">
      <formula>" "</formula>
    </cfRule>
  </conditionalFormatting>
  <dataValidations xWindow="532" yWindow="790" count="15">
    <dataValidation allowBlank="1" showInputMessage="1" showErrorMessage="1" promptTitle="Data Types" prompt="Choose the appropriate data type for the attribute. If new data type, define on the DT_Display Properties Tab." sqref="A4:A5" xr:uid="{07750811-E4AC-483D-BA25-6D457CB7163E}"/>
    <dataValidation allowBlank="1" showInputMessage="1" showErrorMessage="1" promptTitle="Branded" prompt="If true, values of attribute can be brand specific and cannot be globally enumerated for a PT." sqref="A23" xr:uid="{2DC355C7-588F-4513-9775-C1A8661B2461}"/>
    <dataValidation allowBlank="1" showInputMessage="1" showErrorMessage="1" promptTitle="Add Concept Name" prompt="Add a name for the concept that the attribute is being created for. This is the basis for the attribute name. Concept must be capitalized." sqref="B2:C2" xr:uid="{468FBF9A-273C-4DAF-8772-3E24B041753F}"/>
    <dataValidation allowBlank="1" showInputMessage="1" showErrorMessage="1" promptTitle="Descriptive" prompt="If True, it is a textual description such as marketing descriptions, warnings, ingredient statements. If True, this attribute is unstructurable." sqref="A21" xr:uid="{8CCC4E44-1D46-4B59-AC77-5D4CC6EEAF7C}"/>
    <dataValidation allowBlank="1" showInputMessage="1" showErrorMessage="1" promptTitle="Selector" prompt="Add sdl if selectors &gt; marketplace or language_id or if there are sub-attributes else the selector is defined in Selector row and delete this section." sqref="A31:B41" xr:uid="{5104B059-6505-4F8B-B76D-6422F131EDC5}"/>
    <dataValidation allowBlank="1" showErrorMessage="1" promptTitle="Add Enumeration Name" prompt="Add enumeration list name if the attribute is open or closed enumerated. " sqref="B8:D8" xr:uid="{4F6ED38D-2691-4DEB-9D0C-13E450768D5B}"/>
    <dataValidation allowBlank="1" showInputMessage="1" showErrorMessage="1" prompt="If Is Replacement Attribute is True, then it is required that you enter the attribute being replaced." sqref="C25" xr:uid="{740E21C2-9DFC-4459-B52B-266321814F8D}"/>
    <dataValidation allowBlank="1" showInputMessage="1" showErrorMessage="1" promptTitle="Subtype" prompt="Determines whether this attribute is classified as a subtype according to subtype tenets. There is a separate template for Subtypes and this is always FALSE." sqref="A27" xr:uid="{5388D4E7-BF7C-4061-82BA-E18586DD8F89}"/>
    <dataValidation allowBlank="1" showInputMessage="1" showErrorMessage="1" promptTitle="Replacement" prompt="Only TRUE if this attribute is meant to replace an existing attribute or concept. This is to kick off a check of v2 and RTIP attributes to determine if there is a naming collision." sqref="A26" xr:uid="{6BF57C92-31AF-495C-A03B-7BD48ACCD692}"/>
    <dataValidation allowBlank="1" showInputMessage="1" showErrorMessage="1" promptTitle="Configurable" prompt="Only TRUE if there is a request in the SIM to make the attribute configurable. TRUE triggers a process to create an additional configurable attribute. " sqref="A25" xr:uid="{51819E83-2DB4-4B59-B302-478D5DBB3D4F}"/>
    <dataValidation allowBlank="1" showInputMessage="1" showErrorMessage="1" promptTitle="Refinement Candidate" prompt="An attribute that has the potential to be used in a taxonomy refinement. Refinements are used for customers to narrow the onsite product selection." sqref="A24" xr:uid="{F12A8961-3764-4FFC-8A2C-50A32C92A628}"/>
    <dataValidation allowBlank="1" showInputMessage="1" showErrorMessage="1" promptTitle="Opaque Identifier" prompt="If true, the attributes represents alphanumeric identifiers associated with the product for example model numbers." sqref="A22" xr:uid="{AB6853E9-C26D-4B46-B006-6344E0E89772}"/>
    <dataValidation allowBlank="1" showInputMessage="1" showErrorMessage="1" promptTitle="Identity Attribute" prompt="If true, then attribute can not differ per asin and can be used as an authoritative matching dimension. Most attributes are FALSE." sqref="A20" xr:uid="{2F54F0BF-2533-4FFD-B818-20054910D885}"/>
    <dataValidation allowBlank="1" showInputMessage="1" showErrorMessage="1" promptTitle="Internal" prompt="If True, the attribute is only used for Amazon internal processing and will not be visible to the Customer. " sqref="A18:A19" xr:uid="{FC146FB7-5A76-481A-A816-3EF9D63CDAF7}"/>
    <dataValidation allowBlank="1" showInputMessage="1" showErrorMessage="1" promptTitle="Reconciliation" prompt="Determines how attribute will be reconciled for example simple preferences (highest rated contributor) or union all (multiple winning contributions)." sqref="A17" xr:uid="{98934A18-B4A8-4C31-8E22-D31261CADC80}"/>
  </dataValidations>
  <hyperlinks>
    <hyperlink ref="B5:C5" r:id="rId1" display="SymbolVariant@1.0" xr:uid="{D3A3682E-ED54-432C-8D10-8E8159ED5658}"/>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37" id="{8007057B-2A71-4D9D-998F-3A4F79298A29}">
            <xm:f>contype!$M$3="N"</xm:f>
            <x14:dxf>
              <fill>
                <patternFill>
                  <bgColor theme="1"/>
                </patternFill>
              </fill>
            </x14:dxf>
          </x14:cfRule>
          <xm:sqref>B9</xm:sqref>
        </x14:conditionalFormatting>
        <x14:conditionalFormatting xmlns:xm="http://schemas.microsoft.com/office/excel/2006/main">
          <x14:cfRule type="expression" priority="17" id="{01F9142B-FC6E-489A-A5E3-0D34D1C908C3}">
            <xm:f>contype!$M$3="N"</xm:f>
            <x14:dxf>
              <fill>
                <patternFill>
                  <bgColor theme="1"/>
                </patternFill>
              </fill>
            </x14:dxf>
          </x14:cfRule>
          <xm:sqref>B28</xm:sqref>
        </x14:conditionalFormatting>
        <x14:conditionalFormatting xmlns:xm="http://schemas.microsoft.com/office/excel/2006/main">
          <x14:cfRule type="expression" priority="33" id="{D2669755-F5FA-4D46-B6AF-30DC51FFBB6C}">
            <xm:f>contype!$M$3="N"</xm:f>
            <x14:dxf>
              <fill>
                <patternFill>
                  <bgColor theme="1"/>
                </patternFill>
              </fill>
            </x14:dxf>
          </x14:cfRule>
          <xm:sqref>B11</xm:sqref>
        </x14:conditionalFormatting>
        <x14:conditionalFormatting xmlns:xm="http://schemas.microsoft.com/office/excel/2006/main">
          <x14:cfRule type="expression" priority="31" id="{ACA82CF6-93AB-4181-B9F2-1150E969338C}">
            <xm:f>contype!$M$3="N"</xm:f>
            <x14:dxf>
              <fill>
                <patternFill>
                  <bgColor theme="1"/>
                </patternFill>
              </fill>
            </x14:dxf>
          </x14:cfRule>
          <xm:sqref>B12</xm:sqref>
        </x14:conditionalFormatting>
        <x14:conditionalFormatting xmlns:xm="http://schemas.microsoft.com/office/excel/2006/main">
          <x14:cfRule type="expression" priority="29" id="{34B52CF2-9CE5-44BB-AB2A-B69911680855}">
            <xm:f>contype!$M$3="N"</xm:f>
            <x14:dxf>
              <fill>
                <patternFill>
                  <bgColor theme="1"/>
                </patternFill>
              </fill>
            </x14:dxf>
          </x14:cfRule>
          <xm:sqref>B13</xm:sqref>
        </x14:conditionalFormatting>
        <x14:conditionalFormatting xmlns:xm="http://schemas.microsoft.com/office/excel/2006/main">
          <x14:cfRule type="expression" priority="27" id="{BD21F40C-5967-4667-9D45-C7CAD7EDF58E}">
            <xm:f>contype!$M$3="N"</xm:f>
            <x14:dxf>
              <fill>
                <patternFill>
                  <bgColor theme="1"/>
                </patternFill>
              </fill>
            </x14:dxf>
          </x14:cfRule>
          <xm:sqref>B15</xm:sqref>
        </x14:conditionalFormatting>
        <x14:conditionalFormatting xmlns:xm="http://schemas.microsoft.com/office/excel/2006/main">
          <x14:cfRule type="expression" priority="25" id="{2CB083E7-8ED5-4C90-AAE4-E4041C9302C4}">
            <xm:f>contype!$M$3="N"</xm:f>
            <x14:dxf>
              <fill>
                <patternFill>
                  <bgColor theme="1"/>
                </patternFill>
              </fill>
            </x14:dxf>
          </x14:cfRule>
          <xm:sqref>C15</xm:sqref>
        </x14:conditionalFormatting>
        <x14:conditionalFormatting xmlns:xm="http://schemas.microsoft.com/office/excel/2006/main">
          <x14:cfRule type="expression" priority="23" id="{37887490-EF9B-446A-A70E-BEE9D5F2EDEF}">
            <xm:f>contype!$M$3="N"</xm:f>
            <x14:dxf>
              <fill>
                <patternFill>
                  <bgColor theme="1"/>
                </patternFill>
              </fill>
            </x14:dxf>
          </x14:cfRule>
          <xm:sqref>B16</xm:sqref>
        </x14:conditionalFormatting>
        <x14:conditionalFormatting xmlns:xm="http://schemas.microsoft.com/office/excel/2006/main">
          <x14:cfRule type="expression" priority="21" id="{22B625E6-2D4C-4E83-B8C9-45E91328CEC8}">
            <xm:f>contype!$M$3="N"</xm:f>
            <x14:dxf>
              <fill>
                <patternFill>
                  <bgColor theme="1"/>
                </patternFill>
              </fill>
            </x14:dxf>
          </x14:cfRule>
          <xm:sqref>B17</xm:sqref>
        </x14:conditionalFormatting>
        <x14:conditionalFormatting xmlns:xm="http://schemas.microsoft.com/office/excel/2006/main">
          <x14:cfRule type="expression" priority="19" id="{60878F68-7392-46E0-89CD-E6A6C62DD977}">
            <xm:f>contype!$M$3="N"</xm:f>
            <x14:dxf>
              <fill>
                <patternFill>
                  <bgColor theme="1"/>
                </patternFill>
              </fill>
            </x14:dxf>
          </x14:cfRule>
          <xm:sqref>B18:B19</xm:sqref>
        </x14:conditionalFormatting>
        <x14:conditionalFormatting xmlns:xm="http://schemas.microsoft.com/office/excel/2006/main">
          <x14:cfRule type="expression" priority="15" id="{E319808F-51EE-4C90-98B8-409C3E5A4C58}">
            <xm:f>contype!$M$3="N"</xm:f>
            <x14:dxf>
              <fill>
                <patternFill>
                  <bgColor theme="1"/>
                </patternFill>
              </fill>
            </x14:dxf>
          </x14:cfRule>
          <xm:sqref>B20</xm:sqref>
        </x14:conditionalFormatting>
        <x14:conditionalFormatting xmlns:xm="http://schemas.microsoft.com/office/excel/2006/main">
          <x14:cfRule type="expression" priority="13" id="{860B87DE-B8F7-4C65-845A-E582C031EE4A}">
            <xm:f>contype!$M$3="N"</xm:f>
            <x14:dxf>
              <fill>
                <patternFill>
                  <bgColor theme="1"/>
                </patternFill>
              </fill>
            </x14:dxf>
          </x14:cfRule>
          <xm:sqref>B21:B22</xm:sqref>
        </x14:conditionalFormatting>
        <x14:conditionalFormatting xmlns:xm="http://schemas.microsoft.com/office/excel/2006/main">
          <x14:cfRule type="expression" priority="11" id="{2C104691-E547-44F3-9A9D-8AA64E426EC8}">
            <xm:f>contype!$M$3="N"</xm:f>
            <x14:dxf>
              <fill>
                <patternFill>
                  <bgColor theme="1"/>
                </patternFill>
              </fill>
            </x14:dxf>
          </x14:cfRule>
          <xm:sqref>B23</xm:sqref>
        </x14:conditionalFormatting>
        <x14:conditionalFormatting xmlns:xm="http://schemas.microsoft.com/office/excel/2006/main">
          <x14:cfRule type="expression" priority="9" id="{EB7E307B-0BC3-4788-BA0F-4A145B1156FD}">
            <xm:f>contype!$M$3="N"</xm:f>
            <x14:dxf>
              <fill>
                <patternFill>
                  <bgColor theme="1"/>
                </patternFill>
              </fill>
            </x14:dxf>
          </x14:cfRule>
          <xm:sqref>B24:B27</xm:sqref>
        </x14:conditionalFormatting>
        <x14:conditionalFormatting xmlns:xm="http://schemas.microsoft.com/office/excel/2006/main">
          <x14:cfRule type="expression" priority="7" id="{B5D44526-35CF-4C79-9518-2EBC642C0922}">
            <xm:f>contype!$M$3="N"</xm:f>
            <x14:dxf>
              <fill>
                <patternFill>
                  <bgColor theme="1"/>
                </patternFill>
              </fill>
            </x14:dxf>
          </x14:cfRule>
          <xm:sqref>B10</xm:sqref>
        </x14:conditionalFormatting>
      </x14:conditionalFormattings>
    </ext>
    <ext xmlns:x14="http://schemas.microsoft.com/office/spreadsheetml/2009/9/main" uri="{CCE6A557-97BC-4b89-ADB6-D9C93CAAB3DF}">
      <x14:dataValidations xmlns:xm="http://schemas.microsoft.com/office/excel/2006/main" xWindow="532" yWindow="790" count="8">
        <x14:dataValidation type="list" allowBlank="1" showInputMessage="1" showErrorMessage="1" xr:uid="{EC9C0A60-4646-48EA-892D-C4BB1A13FBCF}">
          <x14:formula1>
            <xm:f>contype!$O$2:$O$4</xm:f>
          </x14:formula1>
          <xm:sqref>B16</xm:sqref>
        </x14:dataValidation>
        <x14:dataValidation type="list" allowBlank="1" showInputMessage="1" showErrorMessage="1" xr:uid="{0D970C6D-BB32-4DB8-A94B-7628CA554C3A}">
          <x14:formula1>
            <xm:f>contype!$L$2:$L$3</xm:f>
          </x14:formula1>
          <xm:sqref>B18:B26</xm:sqref>
        </x14:dataValidation>
        <x14:dataValidation type="list" allowBlank="1" showInputMessage="1" showErrorMessage="1" xr:uid="{BA022097-C8C0-4995-9CAA-714852D71AD3}">
          <x14:formula1>
            <xm:f>contype!$B$1:$B$2</xm:f>
          </x14:formula1>
          <xm:sqref>B15</xm:sqref>
        </x14:dataValidation>
        <x14:dataValidation type="list" allowBlank="1" showInputMessage="1" showErrorMessage="1" xr:uid="{BD93E119-A09C-44A8-903F-E8AF088F876C}">
          <x14:formula1>
            <xm:f>contype!$C$1:$C$2</xm:f>
          </x14:formula1>
          <xm:sqref>D5</xm:sqref>
        </x14:dataValidation>
        <x14:dataValidation type="list" allowBlank="1" showInputMessage="1" showErrorMessage="1" xr:uid="{9F0D7B86-2907-4088-838E-5539B2EAB2C6}">
          <x14:formula1>
            <xm:f>contype!$G$2:$G$13</xm:f>
          </x14:formula1>
          <xm:sqref>B5:C5</xm:sqref>
        </x14:dataValidation>
        <x14:dataValidation type="list" allowBlank="1" showInputMessage="1" showErrorMessage="1" xr:uid="{F652A48D-6C6D-49D9-874F-05F6E22F648E}">
          <x14:formula1>
            <xm:f>contype!$D$1:$D$3</xm:f>
          </x14:formula1>
          <xm:sqref>C7</xm:sqref>
        </x14:dataValidation>
        <x14:dataValidation type="list" allowBlank="1" showInputMessage="1" showErrorMessage="1" xr:uid="{0735BD4A-6C37-4192-8597-030E18B7D710}">
          <x14:formula1>
            <xm:f>contype!$C$1:$C$3</xm:f>
          </x14:formula1>
          <xm:sqref>D7</xm:sqref>
        </x14:dataValidation>
        <x14:dataValidation type="list" allowBlank="1" showInputMessage="1" showErrorMessage="1" xr:uid="{2D2DD856-631D-4DF5-8543-139E1401232E}">
          <x14:formula1>
            <xm:f>contype!$K$2:$K$4</xm:f>
          </x14:formula1>
          <xm:sqref>B17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0"/>
  <sheetViews>
    <sheetView zoomScale="107" zoomScaleNormal="75" workbookViewId="0">
      <selection activeCell="F5" sqref="F5"/>
    </sheetView>
  </sheetViews>
  <sheetFormatPr baseColWidth="10" defaultColWidth="8.83203125" defaultRowHeight="15" x14ac:dyDescent="0.2"/>
  <cols>
    <col min="1" max="1" width="44.33203125" customWidth="1"/>
    <col min="2" max="2" width="25.5" customWidth="1"/>
    <col min="3" max="3" width="17.5" customWidth="1"/>
    <col min="4" max="4" width="27.1640625" customWidth="1"/>
    <col min="5" max="5" width="59.5" customWidth="1"/>
    <col min="6" max="6" width="26.5" customWidth="1"/>
    <col min="7" max="7" width="21.1640625" customWidth="1"/>
    <col min="8" max="8" width="69" customWidth="1"/>
    <col min="9" max="9" width="17.33203125" customWidth="1"/>
    <col min="10" max="10" width="40.1640625" customWidth="1"/>
  </cols>
  <sheetData>
    <row r="1" spans="1:9" ht="41" customHeight="1" x14ac:dyDescent="0.2">
      <c r="A1" s="10" t="s">
        <v>47</v>
      </c>
      <c r="B1" s="10" t="s">
        <v>48</v>
      </c>
      <c r="C1" s="10" t="s">
        <v>49</v>
      </c>
      <c r="D1" s="10" t="s">
        <v>50</v>
      </c>
      <c r="E1" s="10" t="s">
        <v>51</v>
      </c>
      <c r="F1" s="10" t="s">
        <v>52</v>
      </c>
      <c r="G1" s="10" t="s">
        <v>53</v>
      </c>
      <c r="H1" s="10" t="s">
        <v>54</v>
      </c>
      <c r="I1" s="10" t="s">
        <v>254</v>
      </c>
    </row>
    <row r="2" spans="1:9" x14ac:dyDescent="0.2">
      <c r="A2" t="s">
        <v>304</v>
      </c>
      <c r="B2" t="s">
        <v>55</v>
      </c>
      <c r="C2">
        <v>10480</v>
      </c>
      <c r="D2" t="s">
        <v>56</v>
      </c>
      <c r="E2" t="s">
        <v>57</v>
      </c>
      <c r="F2" t="s">
        <v>58</v>
      </c>
      <c r="H2">
        <v>30</v>
      </c>
      <c r="I2" t="s">
        <v>255</v>
      </c>
    </row>
    <row r="3" spans="1:9" x14ac:dyDescent="0.2">
      <c r="A3" t="s">
        <v>304</v>
      </c>
      <c r="B3" t="s">
        <v>59</v>
      </c>
      <c r="C3">
        <v>10480</v>
      </c>
      <c r="D3" t="s">
        <v>56</v>
      </c>
      <c r="E3" t="s">
        <v>57</v>
      </c>
      <c r="F3" t="s">
        <v>118</v>
      </c>
      <c r="H3" t="s">
        <v>301</v>
      </c>
      <c r="I3" t="s">
        <v>255</v>
      </c>
    </row>
    <row r="4" spans="1:9" ht="16" x14ac:dyDescent="0.2">
      <c r="A4" t="s">
        <v>304</v>
      </c>
      <c r="B4" t="s">
        <v>59</v>
      </c>
      <c r="C4">
        <v>10480</v>
      </c>
      <c r="D4" t="s">
        <v>56</v>
      </c>
      <c r="E4" t="s">
        <v>762</v>
      </c>
      <c r="F4" t="s">
        <v>107</v>
      </c>
      <c r="H4" s="106" t="s">
        <v>617</v>
      </c>
      <c r="I4" t="s">
        <v>255</v>
      </c>
    </row>
    <row r="5" spans="1:9" ht="16" x14ac:dyDescent="0.2">
      <c r="A5" t="s">
        <v>304</v>
      </c>
      <c r="B5" t="s">
        <v>59</v>
      </c>
      <c r="C5">
        <v>10480</v>
      </c>
      <c r="D5" t="s">
        <v>56</v>
      </c>
      <c r="E5" t="s">
        <v>748</v>
      </c>
      <c r="F5" t="s">
        <v>107</v>
      </c>
      <c r="H5" s="6" t="s">
        <v>619</v>
      </c>
      <c r="I5" t="s">
        <v>255</v>
      </c>
    </row>
    <row r="6" spans="1:9" ht="16" x14ac:dyDescent="0.2">
      <c r="A6" t="s">
        <v>304</v>
      </c>
      <c r="B6" t="s">
        <v>59</v>
      </c>
      <c r="C6">
        <v>10480</v>
      </c>
      <c r="D6" t="s">
        <v>56</v>
      </c>
      <c r="E6" t="s">
        <v>749</v>
      </c>
      <c r="F6" t="s">
        <v>107</v>
      </c>
      <c r="H6" s="6" t="s">
        <v>619</v>
      </c>
      <c r="I6" t="s">
        <v>255</v>
      </c>
    </row>
    <row r="7" spans="1:9" ht="16" x14ac:dyDescent="0.2">
      <c r="A7" t="s">
        <v>304</v>
      </c>
      <c r="B7" t="s">
        <v>59</v>
      </c>
      <c r="C7">
        <v>10480</v>
      </c>
      <c r="D7" t="s">
        <v>56</v>
      </c>
      <c r="E7" t="s">
        <v>750</v>
      </c>
      <c r="F7" t="s">
        <v>107</v>
      </c>
      <c r="H7" s="6" t="s">
        <v>619</v>
      </c>
      <c r="I7" t="s">
        <v>255</v>
      </c>
    </row>
    <row r="8" spans="1:9" ht="16" x14ac:dyDescent="0.2">
      <c r="A8" t="s">
        <v>304</v>
      </c>
      <c r="B8" t="s">
        <v>59</v>
      </c>
      <c r="C8">
        <v>10480</v>
      </c>
      <c r="D8" t="s">
        <v>56</v>
      </c>
      <c r="E8" t="s">
        <v>754</v>
      </c>
      <c r="F8" t="s">
        <v>107</v>
      </c>
      <c r="H8" s="6" t="s">
        <v>619</v>
      </c>
      <c r="I8" t="s">
        <v>255</v>
      </c>
    </row>
    <row r="9" spans="1:9" ht="16" x14ac:dyDescent="0.2">
      <c r="A9" t="s">
        <v>304</v>
      </c>
      <c r="B9" t="s">
        <v>59</v>
      </c>
      <c r="C9">
        <v>10480</v>
      </c>
      <c r="D9" t="s">
        <v>56</v>
      </c>
      <c r="E9" s="107" t="s">
        <v>758</v>
      </c>
      <c r="F9" t="s">
        <v>107</v>
      </c>
      <c r="H9" s="6" t="s">
        <v>619</v>
      </c>
      <c r="I9" t="s">
        <v>255</v>
      </c>
    </row>
    <row r="10" spans="1:9" ht="16" x14ac:dyDescent="0.2">
      <c r="A10" t="s">
        <v>304</v>
      </c>
      <c r="B10" t="s">
        <v>59</v>
      </c>
      <c r="C10">
        <v>10480</v>
      </c>
      <c r="D10" t="s">
        <v>56</v>
      </c>
      <c r="E10" t="s">
        <v>902</v>
      </c>
      <c r="F10" t="s">
        <v>107</v>
      </c>
      <c r="H10" s="6" t="s">
        <v>619</v>
      </c>
      <c r="I10" t="s">
        <v>255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Refresh_Click">
                <anchor moveWithCells="1">
                  <from>
                    <xdr:col>9</xdr:col>
                    <xdr:colOff>304800</xdr:colOff>
                    <xdr:row>0</xdr:row>
                    <xdr:rowOff>177800</xdr:rowOff>
                  </from>
                  <to>
                    <xdr:col>9</xdr:col>
                    <xdr:colOff>1625600</xdr:colOff>
                    <xdr:row>0</xdr:row>
                    <xdr:rowOff>444500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91F78C3-5330-4FDD-93C5-F44AF2250C25}">
          <x14:formula1>
            <xm:f>contype!$AD$2:$AD$4</xm:f>
          </x14:formula1>
          <xm:sqref>I2:I10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579"/>
  <sheetViews>
    <sheetView topLeftCell="A308" zoomScale="140" zoomScaleNormal="140" workbookViewId="0">
      <selection activeCell="A515" sqref="A515"/>
    </sheetView>
  </sheetViews>
  <sheetFormatPr baseColWidth="10" defaultColWidth="8.83203125" defaultRowHeight="15" x14ac:dyDescent="0.2"/>
  <cols>
    <col min="1" max="1" width="22.5" customWidth="1"/>
    <col min="2" max="2" width="59.1640625" customWidth="1"/>
    <col min="3" max="3" width="29.5" customWidth="1"/>
    <col min="4" max="4" width="27.83203125" customWidth="1"/>
    <col min="5" max="5" width="22.33203125" hidden="1" customWidth="1"/>
  </cols>
  <sheetData>
    <row r="1" spans="1:6" x14ac:dyDescent="0.2">
      <c r="A1" s="16" t="s">
        <v>51</v>
      </c>
      <c r="B1" s="16" t="s">
        <v>60</v>
      </c>
      <c r="C1" t="s">
        <v>769</v>
      </c>
      <c r="D1" s="16" t="s">
        <v>157</v>
      </c>
      <c r="F1" s="10" t="s">
        <v>254</v>
      </c>
    </row>
    <row r="2" spans="1:6" ht="17" customHeight="1" x14ac:dyDescent="0.2">
      <c r="A2" s="6" t="str">
        <f>IF($B$2="Not Applicable","Not Applicable","PRODUCT")</f>
        <v>PRODUCT</v>
      </c>
      <c r="B2" s="6" t="s">
        <v>301</v>
      </c>
      <c r="C2" t="s">
        <v>620</v>
      </c>
      <c r="D2" t="s">
        <v>305</v>
      </c>
      <c r="E2" s="91" t="str">
        <f t="shared" ref="E2:E31" si="0">SUBSTITUTE(C2,"_"," ")</f>
        <v>windows 1 0</v>
      </c>
      <c r="F2" s="2" t="s">
        <v>255</v>
      </c>
    </row>
    <row r="3" spans="1:6" ht="16" x14ac:dyDescent="0.2">
      <c r="A3" s="6" t="str">
        <f t="shared" ref="A3:A34" si="1">IF(C3&lt;&gt;"","PRODUCT","")</f>
        <v>PRODUCT</v>
      </c>
      <c r="B3" s="6" t="s">
        <v>301</v>
      </c>
      <c r="C3" t="s">
        <v>622</v>
      </c>
      <c r="D3" t="s">
        <v>306</v>
      </c>
      <c r="E3" s="91" t="str">
        <f t="shared" si="0"/>
        <v>windows 2 0</v>
      </c>
      <c r="F3" s="2" t="s">
        <v>255</v>
      </c>
    </row>
    <row r="4" spans="1:6" ht="16" x14ac:dyDescent="0.2">
      <c r="A4" s="6" t="str">
        <f t="shared" si="1"/>
        <v>PRODUCT</v>
      </c>
      <c r="B4" s="6" t="s">
        <v>301</v>
      </c>
      <c r="C4" t="s">
        <v>616</v>
      </c>
      <c r="D4" t="s">
        <v>307</v>
      </c>
      <c r="E4" s="91" t="str">
        <f t="shared" si="0"/>
        <v>windows 3 0</v>
      </c>
      <c r="F4" s="2" t="s">
        <v>255</v>
      </c>
    </row>
    <row r="5" spans="1:6" ht="16" x14ac:dyDescent="0.2">
      <c r="A5" s="6" t="str">
        <f t="shared" si="1"/>
        <v>PRODUCT</v>
      </c>
      <c r="B5" s="6" t="s">
        <v>301</v>
      </c>
      <c r="C5" t="s">
        <v>621</v>
      </c>
      <c r="D5" t="s">
        <v>308</v>
      </c>
      <c r="E5" s="91" t="str">
        <f t="shared" si="0"/>
        <v>windows 3 1</v>
      </c>
      <c r="F5" s="2" t="s">
        <v>255</v>
      </c>
    </row>
    <row r="6" spans="1:6" ht="32" x14ac:dyDescent="0.2">
      <c r="A6" s="6" t="str">
        <f t="shared" si="1"/>
        <v>PRODUCT</v>
      </c>
      <c r="B6" s="6" t="s">
        <v>301</v>
      </c>
      <c r="C6" t="s">
        <v>309</v>
      </c>
      <c r="D6" t="s">
        <v>310</v>
      </c>
      <c r="E6" s="91" t="str">
        <f t="shared" si="0"/>
        <v>windows nt 3 1 workstation</v>
      </c>
      <c r="F6" s="2" t="s">
        <v>255</v>
      </c>
    </row>
    <row r="7" spans="1:6" ht="32" x14ac:dyDescent="0.2">
      <c r="A7" s="6" t="str">
        <f t="shared" si="1"/>
        <v>PRODUCT</v>
      </c>
      <c r="B7" s="6" t="s">
        <v>301</v>
      </c>
      <c r="C7" t="s">
        <v>311</v>
      </c>
      <c r="D7" t="s">
        <v>312</v>
      </c>
      <c r="E7" s="91" t="str">
        <f t="shared" si="0"/>
        <v>windows nt 3 5 workstation</v>
      </c>
      <c r="F7" s="2" t="s">
        <v>255</v>
      </c>
    </row>
    <row r="8" spans="1:6" ht="16" x14ac:dyDescent="0.2">
      <c r="A8" s="6" t="str">
        <f t="shared" si="1"/>
        <v>PRODUCT</v>
      </c>
      <c r="B8" s="6" t="s">
        <v>301</v>
      </c>
      <c r="C8" t="s">
        <v>313</v>
      </c>
      <c r="D8" t="s">
        <v>314</v>
      </c>
      <c r="E8" s="91" t="str">
        <f t="shared" si="0"/>
        <v>windows 95</v>
      </c>
      <c r="F8" s="2" t="s">
        <v>255</v>
      </c>
    </row>
    <row r="9" spans="1:6" ht="32" x14ac:dyDescent="0.2">
      <c r="A9" s="6" t="str">
        <f t="shared" si="1"/>
        <v>PRODUCT</v>
      </c>
      <c r="B9" s="6" t="s">
        <v>301</v>
      </c>
      <c r="C9" t="s">
        <v>315</v>
      </c>
      <c r="D9" t="s">
        <v>316</v>
      </c>
      <c r="E9" s="91" t="str">
        <f t="shared" si="0"/>
        <v>windows nt 4 0 workstation</v>
      </c>
      <c r="F9" s="2" t="s">
        <v>255</v>
      </c>
    </row>
    <row r="10" spans="1:6" ht="16" x14ac:dyDescent="0.2">
      <c r="A10" s="6" t="str">
        <f t="shared" si="1"/>
        <v>PRODUCT</v>
      </c>
      <c r="B10" s="6" t="s">
        <v>301</v>
      </c>
      <c r="C10" t="s">
        <v>317</v>
      </c>
      <c r="D10" t="s">
        <v>318</v>
      </c>
      <c r="E10" s="91" t="str">
        <f t="shared" si="0"/>
        <v>windows 98</v>
      </c>
      <c r="F10" s="2" t="s">
        <v>255</v>
      </c>
    </row>
    <row r="11" spans="1:6" ht="16" x14ac:dyDescent="0.2">
      <c r="A11" s="6" t="str">
        <f t="shared" si="1"/>
        <v>PRODUCT</v>
      </c>
      <c r="B11" s="6" t="s">
        <v>301</v>
      </c>
      <c r="C11" t="s">
        <v>319</v>
      </c>
      <c r="D11" t="s">
        <v>320</v>
      </c>
      <c r="E11" s="91" t="str">
        <f t="shared" si="0"/>
        <v>windows 98 se</v>
      </c>
      <c r="F11" s="2" t="s">
        <v>255</v>
      </c>
    </row>
    <row r="12" spans="1:6" ht="16" x14ac:dyDescent="0.2">
      <c r="A12" s="6" t="str">
        <f t="shared" si="1"/>
        <v>PRODUCT</v>
      </c>
      <c r="B12" s="6" t="s">
        <v>301</v>
      </c>
      <c r="C12" t="s">
        <v>321</v>
      </c>
      <c r="D12" t="s">
        <v>322</v>
      </c>
      <c r="E12" s="91" t="str">
        <f t="shared" si="0"/>
        <v>windows 2000 professional</v>
      </c>
      <c r="F12" s="2" t="s">
        <v>255</v>
      </c>
    </row>
    <row r="13" spans="1:6" ht="16" x14ac:dyDescent="0.2">
      <c r="A13" s="6" t="str">
        <f t="shared" si="1"/>
        <v>PRODUCT</v>
      </c>
      <c r="B13" s="6" t="s">
        <v>301</v>
      </c>
      <c r="C13" t="s">
        <v>323</v>
      </c>
      <c r="D13" t="s">
        <v>324</v>
      </c>
      <c r="E13" s="91" t="str">
        <f t="shared" si="0"/>
        <v>windows me</v>
      </c>
      <c r="F13" s="2" t="s">
        <v>255</v>
      </c>
    </row>
    <row r="14" spans="1:6" ht="16" x14ac:dyDescent="0.2">
      <c r="A14" s="6" t="str">
        <f t="shared" si="1"/>
        <v>PRODUCT</v>
      </c>
      <c r="B14" s="6" t="s">
        <v>301</v>
      </c>
      <c r="C14" t="s">
        <v>325</v>
      </c>
      <c r="D14" t="s">
        <v>326</v>
      </c>
      <c r="E14" s="91" t="str">
        <f t="shared" si="0"/>
        <v>windows xp</v>
      </c>
      <c r="F14" s="2" t="s">
        <v>255</v>
      </c>
    </row>
    <row r="15" spans="1:6" ht="16" x14ac:dyDescent="0.2">
      <c r="A15" s="6" t="str">
        <f t="shared" si="1"/>
        <v>PRODUCT</v>
      </c>
      <c r="B15" s="6" t="s">
        <v>301</v>
      </c>
      <c r="C15" t="s">
        <v>327</v>
      </c>
      <c r="D15" t="s">
        <v>328</v>
      </c>
      <c r="E15" s="91" t="str">
        <f t="shared" si="0"/>
        <v>windows vista</v>
      </c>
      <c r="F15" s="2" t="s">
        <v>255</v>
      </c>
    </row>
    <row r="16" spans="1:6" ht="16" x14ac:dyDescent="0.2">
      <c r="A16" s="6" t="str">
        <f t="shared" si="1"/>
        <v>PRODUCT</v>
      </c>
      <c r="B16" s="6" t="s">
        <v>301</v>
      </c>
      <c r="C16" t="s">
        <v>329</v>
      </c>
      <c r="D16" t="s">
        <v>330</v>
      </c>
      <c r="E16" s="91" t="str">
        <f t="shared" si="0"/>
        <v>windows 5 0</v>
      </c>
      <c r="F16" s="2" t="s">
        <v>255</v>
      </c>
    </row>
    <row r="17" spans="1:6" ht="16" x14ac:dyDescent="0.2">
      <c r="A17" s="6" t="str">
        <f t="shared" si="1"/>
        <v>PRODUCT</v>
      </c>
      <c r="B17" s="6" t="s">
        <v>301</v>
      </c>
      <c r="C17" t="s">
        <v>331</v>
      </c>
      <c r="D17" t="s">
        <v>332</v>
      </c>
      <c r="E17" s="91" t="str">
        <f t="shared" si="0"/>
        <v>windows 6 0</v>
      </c>
      <c r="F17" s="2" t="s">
        <v>255</v>
      </c>
    </row>
    <row r="18" spans="1:6" ht="16" x14ac:dyDescent="0.2">
      <c r="A18" s="6" t="str">
        <f t="shared" si="1"/>
        <v>PRODUCT</v>
      </c>
      <c r="B18" s="6" t="s">
        <v>301</v>
      </c>
      <c r="C18" t="s">
        <v>333</v>
      </c>
      <c r="D18" t="s">
        <v>334</v>
      </c>
      <c r="E18" s="91" t="str">
        <f t="shared" si="0"/>
        <v>windows 6 1</v>
      </c>
      <c r="F18" s="2" t="s">
        <v>255</v>
      </c>
    </row>
    <row r="19" spans="1:6" ht="16" x14ac:dyDescent="0.2">
      <c r="A19" s="6" t="str">
        <f t="shared" si="1"/>
        <v>PRODUCT</v>
      </c>
      <c r="B19" s="6" t="s">
        <v>301</v>
      </c>
      <c r="C19" t="s">
        <v>335</v>
      </c>
      <c r="D19" t="s">
        <v>336</v>
      </c>
      <c r="E19" s="91" t="str">
        <f t="shared" si="0"/>
        <v>windows 6 5</v>
      </c>
      <c r="F19" s="2" t="s">
        <v>255</v>
      </c>
    </row>
    <row r="20" spans="1:6" ht="16" x14ac:dyDescent="0.2">
      <c r="A20" s="6" t="str">
        <f t="shared" si="1"/>
        <v>PRODUCT</v>
      </c>
      <c r="B20" s="6" t="s">
        <v>301</v>
      </c>
      <c r="C20" t="s">
        <v>337</v>
      </c>
      <c r="D20" t="s">
        <v>338</v>
      </c>
      <c r="E20" s="91" t="str">
        <f t="shared" si="0"/>
        <v>windows 7</v>
      </c>
      <c r="F20" s="2" t="s">
        <v>255</v>
      </c>
    </row>
    <row r="21" spans="1:6" ht="16" x14ac:dyDescent="0.2">
      <c r="A21" s="6" t="str">
        <f t="shared" si="1"/>
        <v>PRODUCT</v>
      </c>
      <c r="B21" s="6" t="s">
        <v>301</v>
      </c>
      <c r="C21" t="s">
        <v>339</v>
      </c>
      <c r="D21" t="s">
        <v>340</v>
      </c>
      <c r="E21" s="91" t="str">
        <f t="shared" si="0"/>
        <v>windows 8</v>
      </c>
      <c r="F21" s="2" t="s">
        <v>255</v>
      </c>
    </row>
    <row r="22" spans="1:6" ht="16" x14ac:dyDescent="0.2">
      <c r="A22" s="6" t="str">
        <f t="shared" si="1"/>
        <v>PRODUCT</v>
      </c>
      <c r="B22" s="6" t="s">
        <v>301</v>
      </c>
      <c r="C22" t="s">
        <v>341</v>
      </c>
      <c r="D22" t="s">
        <v>342</v>
      </c>
      <c r="E22" s="91" t="str">
        <f t="shared" si="0"/>
        <v>windows 8 1</v>
      </c>
      <c r="F22" s="2" t="s">
        <v>255</v>
      </c>
    </row>
    <row r="23" spans="1:6" ht="16" x14ac:dyDescent="0.2">
      <c r="A23" s="6" t="str">
        <f t="shared" si="1"/>
        <v>PRODUCT</v>
      </c>
      <c r="B23" s="6" t="s">
        <v>301</v>
      </c>
      <c r="C23" t="s">
        <v>343</v>
      </c>
      <c r="D23" t="s">
        <v>344</v>
      </c>
      <c r="E23" s="91" t="str">
        <f t="shared" si="0"/>
        <v>windows 10</v>
      </c>
      <c r="F23" s="2" t="s">
        <v>255</v>
      </c>
    </row>
    <row r="24" spans="1:6" ht="16" x14ac:dyDescent="0.2">
      <c r="A24" s="6" t="str">
        <f t="shared" si="1"/>
        <v>PRODUCT</v>
      </c>
      <c r="B24" s="6" t="s">
        <v>301</v>
      </c>
      <c r="C24" t="s">
        <v>345</v>
      </c>
      <c r="D24" t="s">
        <v>346</v>
      </c>
      <c r="E24" s="91" t="str">
        <f t="shared" si="0"/>
        <v>windows 10 s</v>
      </c>
      <c r="F24" s="2" t="s">
        <v>255</v>
      </c>
    </row>
    <row r="25" spans="1:6" ht="16" x14ac:dyDescent="0.2">
      <c r="A25" s="6" t="str">
        <f t="shared" si="1"/>
        <v>PRODUCT</v>
      </c>
      <c r="B25" s="6" t="s">
        <v>301</v>
      </c>
      <c r="C25" t="s">
        <v>347</v>
      </c>
      <c r="D25" t="s">
        <v>348</v>
      </c>
      <c r="E25" s="91" t="str">
        <f t="shared" si="0"/>
        <v>windows 10 pro</v>
      </c>
      <c r="F25" s="2" t="s">
        <v>255</v>
      </c>
    </row>
    <row r="26" spans="1:6" ht="16" x14ac:dyDescent="0.2">
      <c r="A26" s="6" t="str">
        <f t="shared" si="1"/>
        <v>PRODUCT</v>
      </c>
      <c r="B26" s="6" t="s">
        <v>301</v>
      </c>
      <c r="C26" t="s">
        <v>349</v>
      </c>
      <c r="D26" t="s">
        <v>350</v>
      </c>
      <c r="E26" s="91" t="str">
        <f t="shared" si="0"/>
        <v>windows 10 home</v>
      </c>
      <c r="F26" s="2" t="s">
        <v>255</v>
      </c>
    </row>
    <row r="27" spans="1:6" ht="16" x14ac:dyDescent="0.2">
      <c r="A27" s="6" t="str">
        <f t="shared" si="1"/>
        <v>PRODUCT</v>
      </c>
      <c r="B27" s="6" t="s">
        <v>301</v>
      </c>
      <c r="C27" t="s">
        <v>351</v>
      </c>
      <c r="D27" t="s">
        <v>352</v>
      </c>
      <c r="E27" s="91" t="str">
        <f t="shared" si="0"/>
        <v>windows 11</v>
      </c>
      <c r="F27" s="2" t="s">
        <v>255</v>
      </c>
    </row>
    <row r="28" spans="1:6" ht="16" x14ac:dyDescent="0.2">
      <c r="A28" s="6" t="str">
        <f t="shared" si="1"/>
        <v>PRODUCT</v>
      </c>
      <c r="B28" s="6" t="s">
        <v>301</v>
      </c>
      <c r="C28" t="s">
        <v>353</v>
      </c>
      <c r="D28" t="s">
        <v>354</v>
      </c>
      <c r="E28" s="91" t="str">
        <f t="shared" si="0"/>
        <v>windows 11 pro</v>
      </c>
      <c r="F28" s="2" t="s">
        <v>255</v>
      </c>
    </row>
    <row r="29" spans="1:6" ht="16" x14ac:dyDescent="0.2">
      <c r="A29" s="6" t="str">
        <f t="shared" si="1"/>
        <v>PRODUCT</v>
      </c>
      <c r="B29" s="6" t="s">
        <v>301</v>
      </c>
      <c r="C29" t="s">
        <v>355</v>
      </c>
      <c r="D29" t="s">
        <v>356</v>
      </c>
      <c r="E29" s="91" t="str">
        <f t="shared" si="0"/>
        <v>windows 11 se</v>
      </c>
      <c r="F29" s="2" t="s">
        <v>255</v>
      </c>
    </row>
    <row r="30" spans="1:6" ht="16" x14ac:dyDescent="0.2">
      <c r="A30" s="6" t="str">
        <f t="shared" si="1"/>
        <v>PRODUCT</v>
      </c>
      <c r="B30" s="6" t="s">
        <v>301</v>
      </c>
      <c r="C30" t="s">
        <v>357</v>
      </c>
      <c r="D30" t="s">
        <v>358</v>
      </c>
      <c r="E30" s="91" t="str">
        <f t="shared" si="0"/>
        <v>windows 11 home</v>
      </c>
      <c r="F30" s="2" t="s">
        <v>255</v>
      </c>
    </row>
    <row r="31" spans="1:6" ht="16" x14ac:dyDescent="0.2">
      <c r="A31" s="6" t="str">
        <f t="shared" si="1"/>
        <v>PRODUCT</v>
      </c>
      <c r="B31" s="6" t="s">
        <v>301</v>
      </c>
      <c r="C31" t="s">
        <v>359</v>
      </c>
      <c r="D31" t="s">
        <v>360</v>
      </c>
      <c r="E31" s="91" t="str">
        <f t="shared" si="0"/>
        <v>windows 11 s</v>
      </c>
      <c r="F31" s="2" t="s">
        <v>255</v>
      </c>
    </row>
    <row r="32" spans="1:6" ht="16" x14ac:dyDescent="0.2">
      <c r="A32" s="6" t="str">
        <f t="shared" si="1"/>
        <v>PRODUCT</v>
      </c>
      <c r="B32" s="6" t="s">
        <v>301</v>
      </c>
      <c r="C32" t="s">
        <v>361</v>
      </c>
      <c r="D32" t="s">
        <v>362</v>
      </c>
      <c r="F32" s="2" t="s">
        <v>255</v>
      </c>
    </row>
    <row r="33" spans="1:6" ht="16" x14ac:dyDescent="0.2">
      <c r="A33" s="6" t="str">
        <f t="shared" si="1"/>
        <v>PRODUCT</v>
      </c>
      <c r="B33" s="6" t="s">
        <v>301</v>
      </c>
      <c r="C33" t="s">
        <v>363</v>
      </c>
      <c r="D33" t="s">
        <v>364</v>
      </c>
      <c r="F33" s="2" t="s">
        <v>255</v>
      </c>
    </row>
    <row r="34" spans="1:6" ht="16" x14ac:dyDescent="0.2">
      <c r="A34" s="6" t="str">
        <f t="shared" si="1"/>
        <v>PRODUCT</v>
      </c>
      <c r="B34" s="6" t="s">
        <v>301</v>
      </c>
      <c r="C34" t="s">
        <v>365</v>
      </c>
      <c r="D34" t="s">
        <v>366</v>
      </c>
      <c r="F34" s="2" t="s">
        <v>255</v>
      </c>
    </row>
    <row r="35" spans="1:6" ht="16" x14ac:dyDescent="0.2">
      <c r="A35" s="6" t="str">
        <f t="shared" ref="A35:A66" si="2">IF(C35&lt;&gt;"","PRODUCT","")</f>
        <v>PRODUCT</v>
      </c>
      <c r="B35" s="6" t="s">
        <v>301</v>
      </c>
      <c r="C35" t="s">
        <v>367</v>
      </c>
      <c r="D35" t="s">
        <v>368</v>
      </c>
      <c r="F35" s="2" t="s">
        <v>255</v>
      </c>
    </row>
    <row r="36" spans="1:6" ht="16" x14ac:dyDescent="0.2">
      <c r="A36" s="6" t="str">
        <f t="shared" si="2"/>
        <v>PRODUCT</v>
      </c>
      <c r="B36" s="6" t="s">
        <v>301</v>
      </c>
      <c r="C36" t="s">
        <v>369</v>
      </c>
      <c r="D36" t="s">
        <v>370</v>
      </c>
      <c r="F36" s="2" t="s">
        <v>255</v>
      </c>
    </row>
    <row r="37" spans="1:6" ht="16" x14ac:dyDescent="0.2">
      <c r="A37" s="6" t="str">
        <f t="shared" si="2"/>
        <v>PRODUCT</v>
      </c>
      <c r="B37" s="6" t="s">
        <v>301</v>
      </c>
      <c r="C37" t="s">
        <v>371</v>
      </c>
      <c r="D37" t="s">
        <v>372</v>
      </c>
      <c r="F37" s="2" t="s">
        <v>255</v>
      </c>
    </row>
    <row r="38" spans="1:6" ht="16" x14ac:dyDescent="0.2">
      <c r="A38" s="6" t="str">
        <f t="shared" si="2"/>
        <v>PRODUCT</v>
      </c>
      <c r="B38" s="6" t="s">
        <v>301</v>
      </c>
      <c r="C38" t="s">
        <v>341</v>
      </c>
      <c r="D38" t="s">
        <v>342</v>
      </c>
      <c r="F38" s="2" t="s">
        <v>255</v>
      </c>
    </row>
    <row r="39" spans="1:6" ht="16" x14ac:dyDescent="0.2">
      <c r="A39" s="6" t="str">
        <f t="shared" si="2"/>
        <v>PRODUCT</v>
      </c>
      <c r="B39" s="6" t="s">
        <v>301</v>
      </c>
      <c r="C39" t="s">
        <v>373</v>
      </c>
      <c r="D39" t="s">
        <v>374</v>
      </c>
      <c r="F39" s="2" t="s">
        <v>255</v>
      </c>
    </row>
    <row r="40" spans="1:6" ht="16" x14ac:dyDescent="0.2">
      <c r="A40" s="6" t="str">
        <f t="shared" si="2"/>
        <v>PRODUCT</v>
      </c>
      <c r="B40" s="6" t="s">
        <v>301</v>
      </c>
      <c r="C40" t="s">
        <v>375</v>
      </c>
      <c r="D40" t="s">
        <v>376</v>
      </c>
      <c r="F40" s="2" t="s">
        <v>255</v>
      </c>
    </row>
    <row r="41" spans="1:6" ht="16" x14ac:dyDescent="0.2">
      <c r="A41" s="6" t="str">
        <f t="shared" si="2"/>
        <v>PRODUCT</v>
      </c>
      <c r="B41" s="6" t="s">
        <v>301</v>
      </c>
      <c r="C41" t="s">
        <v>377</v>
      </c>
      <c r="D41" t="s">
        <v>378</v>
      </c>
      <c r="F41" s="2" t="s">
        <v>255</v>
      </c>
    </row>
    <row r="42" spans="1:6" ht="16" x14ac:dyDescent="0.2">
      <c r="A42" s="6" t="str">
        <f t="shared" si="2"/>
        <v>PRODUCT</v>
      </c>
      <c r="B42" s="6" t="s">
        <v>301</v>
      </c>
      <c r="C42" t="s">
        <v>379</v>
      </c>
      <c r="D42" t="s">
        <v>380</v>
      </c>
      <c r="F42" s="2" t="s">
        <v>255</v>
      </c>
    </row>
    <row r="43" spans="1:6" ht="16" x14ac:dyDescent="0.2">
      <c r="A43" s="6" t="str">
        <f t="shared" si="2"/>
        <v>PRODUCT</v>
      </c>
      <c r="B43" s="6" t="s">
        <v>301</v>
      </c>
      <c r="C43" t="s">
        <v>768</v>
      </c>
      <c r="D43" t="s">
        <v>381</v>
      </c>
      <c r="F43" s="2" t="s">
        <v>255</v>
      </c>
    </row>
    <row r="44" spans="1:6" ht="16" x14ac:dyDescent="0.2">
      <c r="A44" s="6" t="str">
        <f t="shared" si="2"/>
        <v>PRODUCT</v>
      </c>
      <c r="B44" s="6" t="s">
        <v>301</v>
      </c>
      <c r="C44" t="s">
        <v>382</v>
      </c>
      <c r="D44" t="s">
        <v>383</v>
      </c>
      <c r="F44" s="2" t="s">
        <v>255</v>
      </c>
    </row>
    <row r="45" spans="1:6" ht="16" x14ac:dyDescent="0.2">
      <c r="A45" s="6" t="str">
        <f t="shared" si="2"/>
        <v>PRODUCT</v>
      </c>
      <c r="B45" s="6" t="s">
        <v>301</v>
      </c>
      <c r="C45" t="s">
        <v>384</v>
      </c>
      <c r="D45" t="s">
        <v>385</v>
      </c>
      <c r="F45" s="2" t="s">
        <v>255</v>
      </c>
    </row>
    <row r="46" spans="1:6" ht="16" x14ac:dyDescent="0.2">
      <c r="A46" s="6" t="str">
        <f t="shared" si="2"/>
        <v>PRODUCT</v>
      </c>
      <c r="B46" s="6" t="s">
        <v>301</v>
      </c>
      <c r="C46" t="s">
        <v>386</v>
      </c>
      <c r="D46" t="s">
        <v>387</v>
      </c>
      <c r="F46" s="2" t="s">
        <v>255</v>
      </c>
    </row>
    <row r="47" spans="1:6" ht="16" x14ac:dyDescent="0.2">
      <c r="A47" s="6" t="str">
        <f t="shared" si="2"/>
        <v>PRODUCT</v>
      </c>
      <c r="B47" s="6" t="s">
        <v>301</v>
      </c>
      <c r="C47" t="s">
        <v>388</v>
      </c>
      <c r="D47" t="s">
        <v>389</v>
      </c>
      <c r="F47" s="2" t="s">
        <v>255</v>
      </c>
    </row>
    <row r="48" spans="1:6" ht="16" x14ac:dyDescent="0.2">
      <c r="A48" s="6" t="str">
        <f t="shared" si="2"/>
        <v>PRODUCT</v>
      </c>
      <c r="B48" s="6" t="s">
        <v>301</v>
      </c>
      <c r="C48" t="s">
        <v>390</v>
      </c>
      <c r="D48" t="s">
        <v>391</v>
      </c>
      <c r="F48" s="2" t="s">
        <v>255</v>
      </c>
    </row>
    <row r="49" spans="1:6" ht="16" x14ac:dyDescent="0.2">
      <c r="A49" s="6" t="str">
        <f t="shared" si="2"/>
        <v>PRODUCT</v>
      </c>
      <c r="B49" s="6" t="s">
        <v>301</v>
      </c>
      <c r="C49" t="s">
        <v>770</v>
      </c>
      <c r="D49" t="s">
        <v>392</v>
      </c>
      <c r="F49" s="2" t="s">
        <v>255</v>
      </c>
    </row>
    <row r="50" spans="1:6" ht="16" x14ac:dyDescent="0.2">
      <c r="A50" s="6" t="str">
        <f t="shared" si="2"/>
        <v>PRODUCT</v>
      </c>
      <c r="B50" s="6" t="s">
        <v>301</v>
      </c>
      <c r="C50" t="s">
        <v>771</v>
      </c>
      <c r="D50" t="s">
        <v>393</v>
      </c>
      <c r="F50" s="2" t="s">
        <v>255</v>
      </c>
    </row>
    <row r="51" spans="1:6" ht="16" x14ac:dyDescent="0.2">
      <c r="A51" s="6" t="str">
        <f t="shared" si="2"/>
        <v>PRODUCT</v>
      </c>
      <c r="B51" s="6" t="s">
        <v>301</v>
      </c>
      <c r="C51" t="s">
        <v>394</v>
      </c>
      <c r="D51" t="s">
        <v>395</v>
      </c>
      <c r="F51" s="2" t="s">
        <v>255</v>
      </c>
    </row>
    <row r="52" spans="1:6" ht="16" x14ac:dyDescent="0.2">
      <c r="A52" s="6" t="str">
        <f t="shared" si="2"/>
        <v>PRODUCT</v>
      </c>
      <c r="B52" s="6" t="s">
        <v>301</v>
      </c>
      <c r="C52" t="s">
        <v>396</v>
      </c>
      <c r="D52" t="s">
        <v>397</v>
      </c>
      <c r="F52" s="2" t="s">
        <v>255</v>
      </c>
    </row>
    <row r="53" spans="1:6" ht="16" x14ac:dyDescent="0.2">
      <c r="A53" s="6" t="str">
        <f t="shared" si="2"/>
        <v>PRODUCT</v>
      </c>
      <c r="B53" s="6" t="s">
        <v>301</v>
      </c>
      <c r="C53" t="s">
        <v>398</v>
      </c>
      <c r="D53" t="s">
        <v>399</v>
      </c>
      <c r="F53" s="2" t="s">
        <v>255</v>
      </c>
    </row>
    <row r="54" spans="1:6" ht="16" x14ac:dyDescent="0.2">
      <c r="A54" s="6" t="str">
        <f t="shared" si="2"/>
        <v>PRODUCT</v>
      </c>
      <c r="B54" s="6" t="s">
        <v>301</v>
      </c>
      <c r="C54" t="s">
        <v>400</v>
      </c>
      <c r="D54" t="s">
        <v>401</v>
      </c>
      <c r="F54" s="2" t="s">
        <v>255</v>
      </c>
    </row>
    <row r="55" spans="1:6" ht="16" x14ac:dyDescent="0.2">
      <c r="A55" s="6" t="str">
        <f t="shared" si="2"/>
        <v>PRODUCT</v>
      </c>
      <c r="B55" s="6" t="s">
        <v>301</v>
      </c>
      <c r="C55" t="s">
        <v>402</v>
      </c>
      <c r="D55" t="s">
        <v>403</v>
      </c>
      <c r="F55" s="2" t="s">
        <v>255</v>
      </c>
    </row>
    <row r="56" spans="1:6" ht="16" x14ac:dyDescent="0.2">
      <c r="A56" s="6" t="str">
        <f t="shared" si="2"/>
        <v>PRODUCT</v>
      </c>
      <c r="B56" s="6" t="s">
        <v>301</v>
      </c>
      <c r="C56" t="s">
        <v>404</v>
      </c>
      <c r="D56" t="s">
        <v>405</v>
      </c>
      <c r="F56" s="2" t="s">
        <v>255</v>
      </c>
    </row>
    <row r="57" spans="1:6" ht="16" x14ac:dyDescent="0.2">
      <c r="A57" s="6" t="str">
        <f t="shared" si="2"/>
        <v>PRODUCT</v>
      </c>
      <c r="B57" s="6" t="s">
        <v>301</v>
      </c>
      <c r="C57" t="s">
        <v>406</v>
      </c>
      <c r="D57" t="s">
        <v>407</v>
      </c>
      <c r="F57" s="2" t="s">
        <v>255</v>
      </c>
    </row>
    <row r="58" spans="1:6" ht="16" x14ac:dyDescent="0.2">
      <c r="A58" s="6" t="str">
        <f t="shared" si="2"/>
        <v>PRODUCT</v>
      </c>
      <c r="B58" s="6" t="s">
        <v>301</v>
      </c>
      <c r="C58" t="s">
        <v>408</v>
      </c>
      <c r="D58" t="s">
        <v>409</v>
      </c>
      <c r="F58" s="2" t="s">
        <v>255</v>
      </c>
    </row>
    <row r="59" spans="1:6" ht="16" x14ac:dyDescent="0.2">
      <c r="A59" s="6" t="str">
        <f t="shared" si="2"/>
        <v>PRODUCT</v>
      </c>
      <c r="B59" s="6" t="s">
        <v>301</v>
      </c>
      <c r="C59" t="s">
        <v>410</v>
      </c>
      <c r="D59" t="s">
        <v>411</v>
      </c>
      <c r="F59" s="2" t="s">
        <v>255</v>
      </c>
    </row>
    <row r="60" spans="1:6" ht="16" x14ac:dyDescent="0.2">
      <c r="A60" s="6" t="str">
        <f t="shared" si="2"/>
        <v>PRODUCT</v>
      </c>
      <c r="B60" s="6" t="s">
        <v>301</v>
      </c>
      <c r="C60" t="s">
        <v>412</v>
      </c>
      <c r="D60" t="s">
        <v>413</v>
      </c>
      <c r="F60" s="2" t="s">
        <v>255</v>
      </c>
    </row>
    <row r="61" spans="1:6" ht="16" x14ac:dyDescent="0.2">
      <c r="A61" s="6" t="str">
        <f t="shared" si="2"/>
        <v>PRODUCT</v>
      </c>
      <c r="B61" s="6" t="s">
        <v>301</v>
      </c>
      <c r="C61" t="s">
        <v>414</v>
      </c>
      <c r="D61" t="s">
        <v>415</v>
      </c>
      <c r="F61" s="2" t="s">
        <v>255</v>
      </c>
    </row>
    <row r="62" spans="1:6" ht="16" x14ac:dyDescent="0.2">
      <c r="A62" s="6" t="str">
        <f t="shared" si="2"/>
        <v>PRODUCT</v>
      </c>
      <c r="B62" s="6" t="s">
        <v>301</v>
      </c>
      <c r="C62" t="s">
        <v>416</v>
      </c>
      <c r="D62" t="s">
        <v>417</v>
      </c>
      <c r="F62" s="2" t="s">
        <v>255</v>
      </c>
    </row>
    <row r="63" spans="1:6" ht="16" x14ac:dyDescent="0.2">
      <c r="A63" s="6" t="str">
        <f t="shared" si="2"/>
        <v>PRODUCT</v>
      </c>
      <c r="B63" s="6" t="s">
        <v>301</v>
      </c>
      <c r="C63" t="s">
        <v>418</v>
      </c>
      <c r="D63" t="s">
        <v>419</v>
      </c>
      <c r="F63" s="2" t="s">
        <v>255</v>
      </c>
    </row>
    <row r="64" spans="1:6" ht="16" x14ac:dyDescent="0.2">
      <c r="A64" s="6" t="str">
        <f t="shared" si="2"/>
        <v>PRODUCT</v>
      </c>
      <c r="B64" s="6" t="s">
        <v>301</v>
      </c>
      <c r="C64" t="s">
        <v>420</v>
      </c>
      <c r="D64" t="s">
        <v>421</v>
      </c>
      <c r="F64" s="2" t="s">
        <v>255</v>
      </c>
    </row>
    <row r="65" spans="1:6" ht="16" x14ac:dyDescent="0.2">
      <c r="A65" s="6" t="str">
        <f t="shared" si="2"/>
        <v>PRODUCT</v>
      </c>
      <c r="B65" s="6" t="s">
        <v>301</v>
      </c>
      <c r="C65" t="s">
        <v>422</v>
      </c>
      <c r="D65" t="s">
        <v>423</v>
      </c>
      <c r="F65" s="2" t="s">
        <v>255</v>
      </c>
    </row>
    <row r="66" spans="1:6" ht="16" x14ac:dyDescent="0.2">
      <c r="A66" s="6" t="str">
        <f t="shared" si="2"/>
        <v>PRODUCT</v>
      </c>
      <c r="B66" s="6" t="s">
        <v>301</v>
      </c>
      <c r="C66" t="s">
        <v>424</v>
      </c>
      <c r="D66" t="s">
        <v>425</v>
      </c>
      <c r="F66" s="2" t="s">
        <v>255</v>
      </c>
    </row>
    <row r="67" spans="1:6" ht="16" x14ac:dyDescent="0.2">
      <c r="A67" s="6" t="str">
        <f t="shared" ref="A67:A98" si="3">IF(C67&lt;&gt;"","PRODUCT","")</f>
        <v>PRODUCT</v>
      </c>
      <c r="B67" s="6" t="s">
        <v>301</v>
      </c>
      <c r="C67" t="s">
        <v>426</v>
      </c>
      <c r="D67" t="s">
        <v>427</v>
      </c>
      <c r="F67" s="2" t="s">
        <v>255</v>
      </c>
    </row>
    <row r="68" spans="1:6" ht="16" x14ac:dyDescent="0.2">
      <c r="A68" s="6" t="str">
        <f t="shared" si="3"/>
        <v>PRODUCT</v>
      </c>
      <c r="B68" s="6" t="s">
        <v>301</v>
      </c>
      <c r="C68" t="s">
        <v>428</v>
      </c>
      <c r="D68" t="s">
        <v>429</v>
      </c>
      <c r="F68" s="2" t="s">
        <v>255</v>
      </c>
    </row>
    <row r="69" spans="1:6" ht="16" x14ac:dyDescent="0.2">
      <c r="A69" s="6" t="str">
        <f t="shared" si="3"/>
        <v>PRODUCT</v>
      </c>
      <c r="B69" s="6" t="s">
        <v>301</v>
      </c>
      <c r="C69" t="s">
        <v>430</v>
      </c>
      <c r="D69" t="s">
        <v>431</v>
      </c>
      <c r="F69" s="2" t="s">
        <v>255</v>
      </c>
    </row>
    <row r="70" spans="1:6" ht="16" x14ac:dyDescent="0.2">
      <c r="A70" s="6" t="str">
        <f t="shared" si="3"/>
        <v>PRODUCT</v>
      </c>
      <c r="B70" s="6" t="s">
        <v>301</v>
      </c>
      <c r="C70" t="s">
        <v>432</v>
      </c>
      <c r="D70" t="s">
        <v>433</v>
      </c>
      <c r="F70" s="2" t="s">
        <v>255</v>
      </c>
    </row>
    <row r="71" spans="1:6" ht="16" x14ac:dyDescent="0.2">
      <c r="A71" s="6" t="str">
        <f t="shared" si="3"/>
        <v>PRODUCT</v>
      </c>
      <c r="B71" s="6" t="s">
        <v>301</v>
      </c>
      <c r="C71" t="s">
        <v>772</v>
      </c>
      <c r="D71" t="s">
        <v>434</v>
      </c>
      <c r="F71" s="2" t="s">
        <v>255</v>
      </c>
    </row>
    <row r="72" spans="1:6" ht="16" x14ac:dyDescent="0.2">
      <c r="A72" s="6" t="str">
        <f t="shared" si="3"/>
        <v>PRODUCT</v>
      </c>
      <c r="B72" s="6" t="s">
        <v>301</v>
      </c>
      <c r="C72" t="s">
        <v>435</v>
      </c>
      <c r="D72" t="s">
        <v>436</v>
      </c>
      <c r="F72" s="2" t="s">
        <v>255</v>
      </c>
    </row>
    <row r="73" spans="1:6" ht="16" x14ac:dyDescent="0.2">
      <c r="A73" s="6" t="str">
        <f t="shared" si="3"/>
        <v>PRODUCT</v>
      </c>
      <c r="B73" s="6" t="s">
        <v>301</v>
      </c>
      <c r="C73" t="s">
        <v>612</v>
      </c>
      <c r="D73" t="s">
        <v>613</v>
      </c>
      <c r="F73" s="2" t="s">
        <v>255</v>
      </c>
    </row>
    <row r="74" spans="1:6" ht="16" x14ac:dyDescent="0.2">
      <c r="A74" s="6" t="str">
        <f t="shared" si="3"/>
        <v>PRODUCT</v>
      </c>
      <c r="B74" s="6" t="s">
        <v>301</v>
      </c>
      <c r="C74" t="s">
        <v>437</v>
      </c>
      <c r="D74" t="s">
        <v>614</v>
      </c>
      <c r="F74" s="2" t="s">
        <v>255</v>
      </c>
    </row>
    <row r="75" spans="1:6" ht="16" x14ac:dyDescent="0.2">
      <c r="A75" s="6" t="str">
        <f t="shared" si="3"/>
        <v>PRODUCT</v>
      </c>
      <c r="B75" s="6" t="s">
        <v>301</v>
      </c>
      <c r="C75" t="s">
        <v>438</v>
      </c>
      <c r="D75" t="s">
        <v>615</v>
      </c>
      <c r="F75" s="2" t="s">
        <v>255</v>
      </c>
    </row>
    <row r="76" spans="1:6" ht="16" x14ac:dyDescent="0.2">
      <c r="A76" s="6" t="str">
        <f t="shared" si="3"/>
        <v>PRODUCT</v>
      </c>
      <c r="B76" s="6" t="s">
        <v>301</v>
      </c>
      <c r="C76" t="s">
        <v>439</v>
      </c>
      <c r="D76" t="s">
        <v>440</v>
      </c>
      <c r="F76" s="2" t="s">
        <v>255</v>
      </c>
    </row>
    <row r="77" spans="1:6" ht="16" x14ac:dyDescent="0.2">
      <c r="A77" s="6" t="str">
        <f t="shared" si="3"/>
        <v>PRODUCT</v>
      </c>
      <c r="B77" s="6" t="s">
        <v>301</v>
      </c>
      <c r="C77" t="s">
        <v>441</v>
      </c>
      <c r="D77" t="s">
        <v>442</v>
      </c>
      <c r="F77" s="2" t="s">
        <v>255</v>
      </c>
    </row>
    <row r="78" spans="1:6" ht="16" x14ac:dyDescent="0.2">
      <c r="A78" s="6" t="str">
        <f t="shared" si="3"/>
        <v>PRODUCT</v>
      </c>
      <c r="B78" s="6" t="s">
        <v>301</v>
      </c>
      <c r="C78" t="s">
        <v>443</v>
      </c>
      <c r="D78" t="s">
        <v>444</v>
      </c>
      <c r="F78" s="2" t="s">
        <v>255</v>
      </c>
    </row>
    <row r="79" spans="1:6" ht="16" x14ac:dyDescent="0.2">
      <c r="A79" s="6" t="str">
        <f t="shared" si="3"/>
        <v>PRODUCT</v>
      </c>
      <c r="B79" s="6" t="s">
        <v>301</v>
      </c>
      <c r="C79" t="s">
        <v>445</v>
      </c>
      <c r="D79" t="s">
        <v>446</v>
      </c>
      <c r="F79" s="2" t="s">
        <v>255</v>
      </c>
    </row>
    <row r="80" spans="1:6" ht="16" x14ac:dyDescent="0.2">
      <c r="A80" s="6" t="str">
        <f t="shared" si="3"/>
        <v>PRODUCT</v>
      </c>
      <c r="B80" s="6" t="s">
        <v>301</v>
      </c>
      <c r="C80" t="s">
        <v>447</v>
      </c>
      <c r="D80" t="s">
        <v>448</v>
      </c>
      <c r="F80" s="2" t="s">
        <v>255</v>
      </c>
    </row>
    <row r="81" spans="1:6" ht="16" x14ac:dyDescent="0.2">
      <c r="A81" s="6" t="str">
        <f t="shared" si="3"/>
        <v>PRODUCT</v>
      </c>
      <c r="B81" s="6" t="s">
        <v>301</v>
      </c>
      <c r="C81" t="s">
        <v>449</v>
      </c>
      <c r="D81" t="s">
        <v>450</v>
      </c>
      <c r="F81" s="2" t="s">
        <v>255</v>
      </c>
    </row>
    <row r="82" spans="1:6" ht="16" x14ac:dyDescent="0.2">
      <c r="A82" s="6" t="str">
        <f t="shared" si="3"/>
        <v>PRODUCT</v>
      </c>
      <c r="B82" s="6" t="s">
        <v>301</v>
      </c>
      <c r="C82" t="s">
        <v>451</v>
      </c>
      <c r="D82" t="s">
        <v>452</v>
      </c>
      <c r="F82" s="2" t="s">
        <v>255</v>
      </c>
    </row>
    <row r="83" spans="1:6" ht="16" x14ac:dyDescent="0.2">
      <c r="A83" s="6" t="str">
        <f t="shared" si="3"/>
        <v>PRODUCT</v>
      </c>
      <c r="B83" s="6" t="s">
        <v>301</v>
      </c>
      <c r="C83" t="s">
        <v>453</v>
      </c>
      <c r="D83" t="s">
        <v>454</v>
      </c>
      <c r="F83" s="2" t="s">
        <v>255</v>
      </c>
    </row>
    <row r="84" spans="1:6" ht="16" x14ac:dyDescent="0.2">
      <c r="A84" s="6" t="str">
        <f t="shared" si="3"/>
        <v>PRODUCT</v>
      </c>
      <c r="B84" s="6" t="s">
        <v>301</v>
      </c>
      <c r="C84" t="s">
        <v>455</v>
      </c>
      <c r="D84" t="s">
        <v>456</v>
      </c>
      <c r="F84" s="2" t="s">
        <v>255</v>
      </c>
    </row>
    <row r="85" spans="1:6" ht="16" x14ac:dyDescent="0.2">
      <c r="A85" s="6" t="str">
        <f t="shared" si="3"/>
        <v>PRODUCT</v>
      </c>
      <c r="B85" s="6" t="s">
        <v>301</v>
      </c>
      <c r="C85" t="s">
        <v>457</v>
      </c>
      <c r="D85" t="s">
        <v>458</v>
      </c>
      <c r="F85" s="2" t="s">
        <v>255</v>
      </c>
    </row>
    <row r="86" spans="1:6" ht="16" x14ac:dyDescent="0.2">
      <c r="A86" s="6" t="str">
        <f t="shared" si="3"/>
        <v>PRODUCT</v>
      </c>
      <c r="B86" s="6" t="s">
        <v>301</v>
      </c>
      <c r="C86" t="s">
        <v>459</v>
      </c>
      <c r="D86" t="s">
        <v>460</v>
      </c>
      <c r="F86" s="2" t="s">
        <v>255</v>
      </c>
    </row>
    <row r="87" spans="1:6" ht="16" x14ac:dyDescent="0.2">
      <c r="A87" s="6" t="str">
        <f t="shared" si="3"/>
        <v>PRODUCT</v>
      </c>
      <c r="B87" s="6" t="s">
        <v>301</v>
      </c>
      <c r="C87" t="s">
        <v>461</v>
      </c>
      <c r="D87" t="s">
        <v>462</v>
      </c>
      <c r="F87" s="2" t="s">
        <v>255</v>
      </c>
    </row>
    <row r="88" spans="1:6" ht="16" x14ac:dyDescent="0.2">
      <c r="A88" s="6" t="str">
        <f t="shared" si="3"/>
        <v>PRODUCT</v>
      </c>
      <c r="B88" s="6" t="s">
        <v>301</v>
      </c>
      <c r="C88" t="s">
        <v>463</v>
      </c>
      <c r="D88" t="s">
        <v>464</v>
      </c>
      <c r="F88" s="2" t="s">
        <v>255</v>
      </c>
    </row>
    <row r="89" spans="1:6" ht="16" x14ac:dyDescent="0.2">
      <c r="A89" s="6" t="str">
        <f t="shared" si="3"/>
        <v>PRODUCT</v>
      </c>
      <c r="B89" s="6" t="s">
        <v>301</v>
      </c>
      <c r="C89" t="s">
        <v>465</v>
      </c>
      <c r="D89" t="s">
        <v>466</v>
      </c>
      <c r="F89" s="2" t="s">
        <v>255</v>
      </c>
    </row>
    <row r="90" spans="1:6" ht="16" x14ac:dyDescent="0.2">
      <c r="A90" s="6" t="str">
        <f t="shared" si="3"/>
        <v>PRODUCT</v>
      </c>
      <c r="B90" s="6" t="s">
        <v>301</v>
      </c>
      <c r="C90" t="s">
        <v>467</v>
      </c>
      <c r="D90" t="s">
        <v>468</v>
      </c>
      <c r="F90" s="2" t="s">
        <v>255</v>
      </c>
    </row>
    <row r="91" spans="1:6" ht="16" x14ac:dyDescent="0.2">
      <c r="A91" s="6" t="str">
        <f t="shared" si="3"/>
        <v>PRODUCT</v>
      </c>
      <c r="B91" s="6" t="s">
        <v>301</v>
      </c>
      <c r="C91" t="s">
        <v>469</v>
      </c>
      <c r="D91" t="s">
        <v>470</v>
      </c>
      <c r="F91" s="2" t="s">
        <v>255</v>
      </c>
    </row>
    <row r="92" spans="1:6" ht="16" x14ac:dyDescent="0.2">
      <c r="A92" s="6" t="str">
        <f t="shared" si="3"/>
        <v>PRODUCT</v>
      </c>
      <c r="B92" s="6" t="s">
        <v>301</v>
      </c>
      <c r="C92" t="s">
        <v>471</v>
      </c>
      <c r="D92" t="s">
        <v>472</v>
      </c>
      <c r="F92" s="2" t="s">
        <v>255</v>
      </c>
    </row>
    <row r="93" spans="1:6" ht="16" x14ac:dyDescent="0.2">
      <c r="A93" s="6" t="str">
        <f t="shared" si="3"/>
        <v>PRODUCT</v>
      </c>
      <c r="B93" s="6" t="s">
        <v>301</v>
      </c>
      <c r="C93" t="s">
        <v>473</v>
      </c>
      <c r="D93" t="s">
        <v>474</v>
      </c>
      <c r="F93" s="2" t="s">
        <v>255</v>
      </c>
    </row>
    <row r="94" spans="1:6" ht="16" x14ac:dyDescent="0.2">
      <c r="A94" s="6" t="str">
        <f t="shared" si="3"/>
        <v>PRODUCT</v>
      </c>
      <c r="B94" s="6" t="s">
        <v>301</v>
      </c>
      <c r="C94" t="s">
        <v>475</v>
      </c>
      <c r="D94" t="s">
        <v>476</v>
      </c>
      <c r="F94" s="2" t="s">
        <v>255</v>
      </c>
    </row>
    <row r="95" spans="1:6" ht="16" x14ac:dyDescent="0.2">
      <c r="A95" s="6" t="str">
        <f t="shared" si="3"/>
        <v>PRODUCT</v>
      </c>
      <c r="B95" s="6" t="s">
        <v>301</v>
      </c>
      <c r="C95" t="s">
        <v>477</v>
      </c>
      <c r="D95" t="s">
        <v>478</v>
      </c>
      <c r="F95" s="2" t="s">
        <v>255</v>
      </c>
    </row>
    <row r="96" spans="1:6" ht="16" x14ac:dyDescent="0.2">
      <c r="A96" s="6" t="str">
        <f t="shared" si="3"/>
        <v>PRODUCT</v>
      </c>
      <c r="B96" s="6" t="s">
        <v>301</v>
      </c>
      <c r="C96" t="s">
        <v>479</v>
      </c>
      <c r="D96" t="s">
        <v>480</v>
      </c>
      <c r="F96" s="2" t="s">
        <v>255</v>
      </c>
    </row>
    <row r="97" spans="1:6" ht="16" x14ac:dyDescent="0.2">
      <c r="A97" s="6" t="str">
        <f t="shared" si="3"/>
        <v>PRODUCT</v>
      </c>
      <c r="B97" s="6" t="s">
        <v>301</v>
      </c>
      <c r="C97" t="s">
        <v>481</v>
      </c>
      <c r="D97" t="s">
        <v>482</v>
      </c>
      <c r="F97" s="2" t="s">
        <v>255</v>
      </c>
    </row>
    <row r="98" spans="1:6" ht="16" x14ac:dyDescent="0.2">
      <c r="A98" s="6" t="str">
        <f t="shared" si="3"/>
        <v>PRODUCT</v>
      </c>
      <c r="B98" s="6" t="s">
        <v>301</v>
      </c>
      <c r="C98" t="s">
        <v>483</v>
      </c>
      <c r="D98" t="s">
        <v>484</v>
      </c>
      <c r="F98" s="2" t="s">
        <v>255</v>
      </c>
    </row>
    <row r="99" spans="1:6" ht="16" x14ac:dyDescent="0.2">
      <c r="A99" s="6" t="str">
        <f t="shared" ref="A99:A130" si="4">IF(C99&lt;&gt;"","PRODUCT","")</f>
        <v>PRODUCT</v>
      </c>
      <c r="B99" s="6" t="s">
        <v>301</v>
      </c>
      <c r="C99" t="s">
        <v>485</v>
      </c>
      <c r="D99" t="s">
        <v>486</v>
      </c>
      <c r="F99" s="2" t="s">
        <v>255</v>
      </c>
    </row>
    <row r="100" spans="1:6" ht="16" x14ac:dyDescent="0.2">
      <c r="A100" s="6" t="str">
        <f t="shared" si="4"/>
        <v>PRODUCT</v>
      </c>
      <c r="B100" s="6" t="s">
        <v>301</v>
      </c>
      <c r="C100" t="s">
        <v>487</v>
      </c>
      <c r="D100" t="s">
        <v>488</v>
      </c>
      <c r="F100" s="2" t="s">
        <v>255</v>
      </c>
    </row>
    <row r="101" spans="1:6" ht="16" x14ac:dyDescent="0.2">
      <c r="A101" s="6" t="str">
        <f t="shared" si="4"/>
        <v>PRODUCT</v>
      </c>
      <c r="B101" s="6" t="s">
        <v>301</v>
      </c>
      <c r="C101" t="s">
        <v>489</v>
      </c>
      <c r="D101" t="s">
        <v>490</v>
      </c>
      <c r="F101" s="2" t="s">
        <v>255</v>
      </c>
    </row>
    <row r="102" spans="1:6" ht="16" x14ac:dyDescent="0.2">
      <c r="A102" s="6" t="str">
        <f t="shared" si="4"/>
        <v>PRODUCT</v>
      </c>
      <c r="B102" s="6" t="s">
        <v>301</v>
      </c>
      <c r="C102" t="s">
        <v>491</v>
      </c>
      <c r="D102" t="s">
        <v>492</v>
      </c>
      <c r="F102" s="2" t="s">
        <v>255</v>
      </c>
    </row>
    <row r="103" spans="1:6" ht="16" x14ac:dyDescent="0.2">
      <c r="A103" s="6" t="str">
        <f t="shared" si="4"/>
        <v>PRODUCT</v>
      </c>
      <c r="B103" s="6" t="s">
        <v>301</v>
      </c>
      <c r="C103" t="s">
        <v>493</v>
      </c>
      <c r="D103" t="s">
        <v>494</v>
      </c>
      <c r="F103" s="2" t="s">
        <v>255</v>
      </c>
    </row>
    <row r="104" spans="1:6" ht="16" x14ac:dyDescent="0.2">
      <c r="A104" s="6" t="str">
        <f t="shared" si="4"/>
        <v>PRODUCT</v>
      </c>
      <c r="B104" s="6" t="s">
        <v>301</v>
      </c>
      <c r="C104" t="s">
        <v>495</v>
      </c>
      <c r="D104" t="s">
        <v>496</v>
      </c>
      <c r="F104" s="2" t="s">
        <v>255</v>
      </c>
    </row>
    <row r="105" spans="1:6" ht="16" x14ac:dyDescent="0.2">
      <c r="A105" s="6" t="str">
        <f t="shared" si="4"/>
        <v>PRODUCT</v>
      </c>
      <c r="B105" s="6" t="s">
        <v>301</v>
      </c>
      <c r="C105" t="s">
        <v>497</v>
      </c>
      <c r="D105" t="s">
        <v>498</v>
      </c>
      <c r="F105" s="2" t="s">
        <v>255</v>
      </c>
    </row>
    <row r="106" spans="1:6" ht="16" x14ac:dyDescent="0.2">
      <c r="A106" s="6" t="str">
        <f t="shared" si="4"/>
        <v>PRODUCT</v>
      </c>
      <c r="B106" s="6" t="s">
        <v>301</v>
      </c>
      <c r="C106" t="s">
        <v>499</v>
      </c>
      <c r="D106" t="s">
        <v>500</v>
      </c>
      <c r="F106" s="2" t="s">
        <v>255</v>
      </c>
    </row>
    <row r="107" spans="1:6" ht="16" x14ac:dyDescent="0.2">
      <c r="A107" s="6" t="str">
        <f t="shared" si="4"/>
        <v>PRODUCT</v>
      </c>
      <c r="B107" s="6" t="s">
        <v>301</v>
      </c>
      <c r="C107" t="s">
        <v>501</v>
      </c>
      <c r="D107" t="s">
        <v>502</v>
      </c>
      <c r="F107" s="2" t="s">
        <v>255</v>
      </c>
    </row>
    <row r="108" spans="1:6" ht="16" x14ac:dyDescent="0.2">
      <c r="A108" s="6" t="str">
        <f t="shared" si="4"/>
        <v>PRODUCT</v>
      </c>
      <c r="B108" s="6" t="s">
        <v>301</v>
      </c>
      <c r="C108" t="s">
        <v>503</v>
      </c>
      <c r="D108" t="s">
        <v>504</v>
      </c>
      <c r="F108" s="2" t="s">
        <v>255</v>
      </c>
    </row>
    <row r="109" spans="1:6" ht="16" x14ac:dyDescent="0.2">
      <c r="A109" s="6" t="str">
        <f t="shared" si="4"/>
        <v>PRODUCT</v>
      </c>
      <c r="B109" s="6" t="s">
        <v>301</v>
      </c>
      <c r="C109" t="s">
        <v>505</v>
      </c>
      <c r="D109" t="s">
        <v>506</v>
      </c>
      <c r="F109" s="2" t="s">
        <v>255</v>
      </c>
    </row>
    <row r="110" spans="1:6" ht="16" x14ac:dyDescent="0.2">
      <c r="A110" s="6" t="str">
        <f t="shared" si="4"/>
        <v>PRODUCT</v>
      </c>
      <c r="B110" s="6" t="s">
        <v>301</v>
      </c>
      <c r="C110" t="s">
        <v>507</v>
      </c>
      <c r="D110" t="s">
        <v>508</v>
      </c>
      <c r="F110" s="2" t="s">
        <v>255</v>
      </c>
    </row>
    <row r="111" spans="1:6" ht="16" x14ac:dyDescent="0.2">
      <c r="A111" s="6" t="str">
        <f t="shared" si="4"/>
        <v>PRODUCT</v>
      </c>
      <c r="B111" s="6" t="s">
        <v>301</v>
      </c>
      <c r="C111" t="s">
        <v>509</v>
      </c>
      <c r="D111" t="s">
        <v>510</v>
      </c>
      <c r="F111" s="2" t="s">
        <v>255</v>
      </c>
    </row>
    <row r="112" spans="1:6" ht="16" x14ac:dyDescent="0.2">
      <c r="A112" s="6" t="str">
        <f t="shared" si="4"/>
        <v>PRODUCT</v>
      </c>
      <c r="B112" s="6" t="s">
        <v>301</v>
      </c>
      <c r="C112" t="s">
        <v>511</v>
      </c>
      <c r="D112" t="s">
        <v>512</v>
      </c>
      <c r="F112" s="2" t="s">
        <v>255</v>
      </c>
    </row>
    <row r="113" spans="1:6" ht="16" x14ac:dyDescent="0.2">
      <c r="A113" s="6" t="str">
        <f t="shared" si="4"/>
        <v>PRODUCT</v>
      </c>
      <c r="B113" s="6" t="s">
        <v>301</v>
      </c>
      <c r="C113" t="s">
        <v>513</v>
      </c>
      <c r="D113" t="s">
        <v>514</v>
      </c>
      <c r="F113" s="2" t="s">
        <v>255</v>
      </c>
    </row>
    <row r="114" spans="1:6" ht="16" x14ac:dyDescent="0.2">
      <c r="A114" s="6" t="str">
        <f t="shared" si="4"/>
        <v>PRODUCT</v>
      </c>
      <c r="B114" s="6" t="s">
        <v>301</v>
      </c>
      <c r="C114" t="s">
        <v>515</v>
      </c>
      <c r="D114" t="s">
        <v>516</v>
      </c>
      <c r="F114" s="2" t="s">
        <v>255</v>
      </c>
    </row>
    <row r="115" spans="1:6" ht="16" x14ac:dyDescent="0.2">
      <c r="A115" s="6" t="str">
        <f t="shared" si="4"/>
        <v>PRODUCT</v>
      </c>
      <c r="B115" s="6" t="s">
        <v>301</v>
      </c>
      <c r="C115" t="s">
        <v>517</v>
      </c>
      <c r="D115" t="s">
        <v>518</v>
      </c>
      <c r="F115" s="2" t="s">
        <v>255</v>
      </c>
    </row>
    <row r="116" spans="1:6" ht="16" x14ac:dyDescent="0.2">
      <c r="A116" s="6" t="str">
        <f t="shared" si="4"/>
        <v>PRODUCT</v>
      </c>
      <c r="B116" s="6" t="s">
        <v>301</v>
      </c>
      <c r="C116" t="s">
        <v>519</v>
      </c>
      <c r="D116" t="s">
        <v>520</v>
      </c>
      <c r="F116" s="2" t="s">
        <v>255</v>
      </c>
    </row>
    <row r="117" spans="1:6" ht="16" x14ac:dyDescent="0.2">
      <c r="A117" s="6" t="str">
        <f t="shared" si="4"/>
        <v>PRODUCT</v>
      </c>
      <c r="B117" s="6" t="s">
        <v>301</v>
      </c>
      <c r="C117" t="s">
        <v>521</v>
      </c>
      <c r="D117" t="s">
        <v>522</v>
      </c>
      <c r="F117" s="2" t="s">
        <v>255</v>
      </c>
    </row>
    <row r="118" spans="1:6" ht="16" x14ac:dyDescent="0.2">
      <c r="A118" s="6" t="str">
        <f t="shared" si="4"/>
        <v>PRODUCT</v>
      </c>
      <c r="B118" s="6" t="s">
        <v>301</v>
      </c>
      <c r="C118" t="s">
        <v>523</v>
      </c>
      <c r="D118" t="s">
        <v>524</v>
      </c>
      <c r="F118" s="2" t="s">
        <v>255</v>
      </c>
    </row>
    <row r="119" spans="1:6" ht="16" x14ac:dyDescent="0.2">
      <c r="A119" s="6" t="str">
        <f t="shared" si="4"/>
        <v>PRODUCT</v>
      </c>
      <c r="B119" s="6" t="s">
        <v>301</v>
      </c>
      <c r="C119" t="s">
        <v>525</v>
      </c>
      <c r="D119" t="s">
        <v>526</v>
      </c>
      <c r="F119" s="2" t="s">
        <v>255</v>
      </c>
    </row>
    <row r="120" spans="1:6" ht="16" x14ac:dyDescent="0.2">
      <c r="A120" s="6" t="str">
        <f t="shared" si="4"/>
        <v>PRODUCT</v>
      </c>
      <c r="B120" s="6" t="s">
        <v>301</v>
      </c>
      <c r="C120" t="s">
        <v>527</v>
      </c>
      <c r="D120" t="s">
        <v>528</v>
      </c>
      <c r="F120" s="2" t="s">
        <v>255</v>
      </c>
    </row>
    <row r="121" spans="1:6" ht="16" x14ac:dyDescent="0.2">
      <c r="A121" s="6" t="str">
        <f t="shared" si="4"/>
        <v>PRODUCT</v>
      </c>
      <c r="B121" s="6" t="s">
        <v>301</v>
      </c>
      <c r="C121" t="s">
        <v>529</v>
      </c>
      <c r="D121" t="s">
        <v>530</v>
      </c>
      <c r="F121" s="2" t="s">
        <v>255</v>
      </c>
    </row>
    <row r="122" spans="1:6" ht="16" x14ac:dyDescent="0.2">
      <c r="A122" s="6" t="str">
        <f t="shared" si="4"/>
        <v>PRODUCT</v>
      </c>
      <c r="B122" s="6" t="s">
        <v>301</v>
      </c>
      <c r="C122" t="s">
        <v>531</v>
      </c>
      <c r="D122" t="s">
        <v>532</v>
      </c>
      <c r="F122" s="2" t="s">
        <v>255</v>
      </c>
    </row>
    <row r="123" spans="1:6" ht="16" x14ac:dyDescent="0.2">
      <c r="A123" s="6" t="str">
        <f t="shared" si="4"/>
        <v>PRODUCT</v>
      </c>
      <c r="B123" s="6" t="s">
        <v>301</v>
      </c>
      <c r="C123" t="s">
        <v>533</v>
      </c>
      <c r="D123" t="s">
        <v>534</v>
      </c>
      <c r="F123" s="2" t="s">
        <v>255</v>
      </c>
    </row>
    <row r="124" spans="1:6" ht="16" x14ac:dyDescent="0.2">
      <c r="A124" s="6" t="str">
        <f t="shared" si="4"/>
        <v>PRODUCT</v>
      </c>
      <c r="B124" s="6" t="s">
        <v>301</v>
      </c>
      <c r="C124" t="s">
        <v>535</v>
      </c>
      <c r="D124" t="s">
        <v>536</v>
      </c>
      <c r="F124" s="2" t="s">
        <v>255</v>
      </c>
    </row>
    <row r="125" spans="1:6" ht="16" x14ac:dyDescent="0.2">
      <c r="A125" s="6" t="str">
        <f t="shared" si="4"/>
        <v>PRODUCT</v>
      </c>
      <c r="B125" s="6" t="s">
        <v>301</v>
      </c>
      <c r="C125" t="s">
        <v>537</v>
      </c>
      <c r="D125" t="s">
        <v>538</v>
      </c>
      <c r="F125" s="2" t="s">
        <v>255</v>
      </c>
    </row>
    <row r="126" spans="1:6" ht="16" x14ac:dyDescent="0.2">
      <c r="A126" s="6" t="str">
        <f t="shared" si="4"/>
        <v>PRODUCT</v>
      </c>
      <c r="B126" s="6" t="s">
        <v>301</v>
      </c>
      <c r="C126" t="s">
        <v>539</v>
      </c>
      <c r="D126" t="s">
        <v>540</v>
      </c>
      <c r="F126" s="2" t="s">
        <v>255</v>
      </c>
    </row>
    <row r="127" spans="1:6" ht="16" x14ac:dyDescent="0.2">
      <c r="A127" s="6" t="str">
        <f t="shared" si="4"/>
        <v>PRODUCT</v>
      </c>
      <c r="B127" s="6" t="s">
        <v>301</v>
      </c>
      <c r="C127" t="s">
        <v>541</v>
      </c>
      <c r="D127" t="s">
        <v>542</v>
      </c>
      <c r="F127" s="2" t="s">
        <v>255</v>
      </c>
    </row>
    <row r="128" spans="1:6" ht="16" x14ac:dyDescent="0.2">
      <c r="A128" s="6" t="str">
        <f t="shared" si="4"/>
        <v>PRODUCT</v>
      </c>
      <c r="B128" s="6" t="s">
        <v>301</v>
      </c>
      <c r="C128" t="s">
        <v>543</v>
      </c>
      <c r="D128" t="s">
        <v>544</v>
      </c>
      <c r="F128" s="2" t="s">
        <v>255</v>
      </c>
    </row>
    <row r="129" spans="1:6" ht="16" x14ac:dyDescent="0.2">
      <c r="A129" s="6" t="str">
        <f t="shared" si="4"/>
        <v>PRODUCT</v>
      </c>
      <c r="B129" s="6" t="s">
        <v>301</v>
      </c>
      <c r="C129" t="s">
        <v>545</v>
      </c>
      <c r="D129" t="s">
        <v>546</v>
      </c>
      <c r="F129" s="2" t="s">
        <v>255</v>
      </c>
    </row>
    <row r="130" spans="1:6" ht="16" x14ac:dyDescent="0.2">
      <c r="A130" s="6" t="str">
        <f t="shared" si="4"/>
        <v>PRODUCT</v>
      </c>
      <c r="B130" s="6" t="s">
        <v>301</v>
      </c>
      <c r="C130" t="s">
        <v>547</v>
      </c>
      <c r="D130" t="s">
        <v>548</v>
      </c>
      <c r="F130" s="2" t="s">
        <v>255</v>
      </c>
    </row>
    <row r="131" spans="1:6" ht="16" x14ac:dyDescent="0.2">
      <c r="A131" s="6" t="str">
        <f t="shared" ref="A131:A165" si="5">IF(C131&lt;&gt;"","PRODUCT","")</f>
        <v>PRODUCT</v>
      </c>
      <c r="B131" s="6" t="s">
        <v>301</v>
      </c>
      <c r="C131" t="s">
        <v>549</v>
      </c>
      <c r="D131" t="s">
        <v>550</v>
      </c>
      <c r="F131" s="2" t="s">
        <v>255</v>
      </c>
    </row>
    <row r="132" spans="1:6" ht="16" x14ac:dyDescent="0.2">
      <c r="A132" s="6" t="str">
        <f t="shared" si="5"/>
        <v>PRODUCT</v>
      </c>
      <c r="B132" s="6" t="s">
        <v>301</v>
      </c>
      <c r="C132" t="s">
        <v>551</v>
      </c>
      <c r="D132" t="s">
        <v>552</v>
      </c>
      <c r="F132" s="2" t="s">
        <v>255</v>
      </c>
    </row>
    <row r="133" spans="1:6" ht="16" x14ac:dyDescent="0.2">
      <c r="A133" s="6" t="str">
        <f t="shared" si="5"/>
        <v>PRODUCT</v>
      </c>
      <c r="B133" s="6" t="s">
        <v>301</v>
      </c>
      <c r="C133" t="s">
        <v>553</v>
      </c>
      <c r="D133" t="s">
        <v>554</v>
      </c>
      <c r="F133" s="2" t="s">
        <v>255</v>
      </c>
    </row>
    <row r="134" spans="1:6" ht="16" x14ac:dyDescent="0.2">
      <c r="A134" s="6" t="str">
        <f t="shared" si="5"/>
        <v>PRODUCT</v>
      </c>
      <c r="B134" s="6" t="s">
        <v>301</v>
      </c>
      <c r="C134" t="s">
        <v>555</v>
      </c>
      <c r="D134" t="s">
        <v>556</v>
      </c>
      <c r="F134" s="2" t="s">
        <v>255</v>
      </c>
    </row>
    <row r="135" spans="1:6" ht="16" x14ac:dyDescent="0.2">
      <c r="A135" s="6" t="str">
        <f t="shared" si="5"/>
        <v>PRODUCT</v>
      </c>
      <c r="B135" s="6" t="s">
        <v>301</v>
      </c>
      <c r="C135" t="s">
        <v>557</v>
      </c>
      <c r="D135" t="s">
        <v>558</v>
      </c>
      <c r="F135" s="2" t="s">
        <v>255</v>
      </c>
    </row>
    <row r="136" spans="1:6" ht="16" x14ac:dyDescent="0.2">
      <c r="A136" s="6" t="str">
        <f t="shared" si="5"/>
        <v>PRODUCT</v>
      </c>
      <c r="B136" s="6" t="s">
        <v>301</v>
      </c>
      <c r="C136" t="s">
        <v>559</v>
      </c>
      <c r="D136" t="s">
        <v>560</v>
      </c>
      <c r="F136" s="2" t="s">
        <v>255</v>
      </c>
    </row>
    <row r="137" spans="1:6" ht="16" x14ac:dyDescent="0.2">
      <c r="A137" s="6" t="str">
        <f t="shared" si="5"/>
        <v>PRODUCT</v>
      </c>
      <c r="B137" s="6" t="s">
        <v>301</v>
      </c>
      <c r="C137" t="s">
        <v>561</v>
      </c>
      <c r="D137" t="s">
        <v>562</v>
      </c>
      <c r="F137" s="2" t="s">
        <v>255</v>
      </c>
    </row>
    <row r="138" spans="1:6" ht="16" x14ac:dyDescent="0.2">
      <c r="A138" s="6" t="str">
        <f t="shared" si="5"/>
        <v>PRODUCT</v>
      </c>
      <c r="B138" s="6" t="s">
        <v>301</v>
      </c>
      <c r="C138" t="s">
        <v>563</v>
      </c>
      <c r="D138" t="s">
        <v>564</v>
      </c>
      <c r="F138" s="2" t="s">
        <v>255</v>
      </c>
    </row>
    <row r="139" spans="1:6" ht="16" x14ac:dyDescent="0.2">
      <c r="A139" s="6" t="str">
        <f t="shared" si="5"/>
        <v>PRODUCT</v>
      </c>
      <c r="B139" s="6" t="s">
        <v>301</v>
      </c>
      <c r="C139" t="s">
        <v>565</v>
      </c>
      <c r="D139" t="s">
        <v>566</v>
      </c>
      <c r="F139" s="2" t="s">
        <v>255</v>
      </c>
    </row>
    <row r="140" spans="1:6" ht="16" x14ac:dyDescent="0.2">
      <c r="A140" s="6" t="str">
        <f t="shared" si="5"/>
        <v>PRODUCT</v>
      </c>
      <c r="B140" s="6" t="s">
        <v>301</v>
      </c>
      <c r="C140" t="s">
        <v>567</v>
      </c>
      <c r="D140" t="s">
        <v>568</v>
      </c>
      <c r="F140" s="2" t="s">
        <v>255</v>
      </c>
    </row>
    <row r="141" spans="1:6" ht="16" x14ac:dyDescent="0.2">
      <c r="A141" s="6" t="str">
        <f t="shared" si="5"/>
        <v>PRODUCT</v>
      </c>
      <c r="B141" s="6" t="s">
        <v>301</v>
      </c>
      <c r="C141" t="s">
        <v>569</v>
      </c>
      <c r="D141" t="s">
        <v>570</v>
      </c>
      <c r="F141" s="2" t="s">
        <v>255</v>
      </c>
    </row>
    <row r="142" spans="1:6" ht="16" x14ac:dyDescent="0.2">
      <c r="A142" s="6" t="str">
        <f t="shared" si="5"/>
        <v>PRODUCT</v>
      </c>
      <c r="B142" s="6" t="s">
        <v>301</v>
      </c>
      <c r="C142" t="s">
        <v>571</v>
      </c>
      <c r="D142" t="s">
        <v>572</v>
      </c>
      <c r="F142" s="2" t="s">
        <v>255</v>
      </c>
    </row>
    <row r="143" spans="1:6" ht="16" x14ac:dyDescent="0.2">
      <c r="A143" s="6" t="str">
        <f t="shared" si="5"/>
        <v>PRODUCT</v>
      </c>
      <c r="B143" s="6" t="s">
        <v>301</v>
      </c>
      <c r="C143" t="s">
        <v>573</v>
      </c>
      <c r="D143" t="s">
        <v>572</v>
      </c>
      <c r="F143" s="2" t="s">
        <v>255</v>
      </c>
    </row>
    <row r="144" spans="1:6" ht="16" x14ac:dyDescent="0.2">
      <c r="A144" s="6" t="str">
        <f t="shared" si="5"/>
        <v>PRODUCT</v>
      </c>
      <c r="B144" s="6" t="s">
        <v>301</v>
      </c>
      <c r="C144" t="s">
        <v>574</v>
      </c>
      <c r="D144" t="s">
        <v>575</v>
      </c>
      <c r="F144" s="2" t="s">
        <v>255</v>
      </c>
    </row>
    <row r="145" spans="1:6" ht="16" x14ac:dyDescent="0.2">
      <c r="A145" s="6" t="str">
        <f t="shared" si="5"/>
        <v>PRODUCT</v>
      </c>
      <c r="B145" s="6" t="s">
        <v>301</v>
      </c>
      <c r="C145" t="s">
        <v>618</v>
      </c>
      <c r="D145" t="s">
        <v>576</v>
      </c>
      <c r="F145" s="2" t="s">
        <v>255</v>
      </c>
    </row>
    <row r="146" spans="1:6" ht="16" x14ac:dyDescent="0.2">
      <c r="A146" s="6" t="str">
        <f t="shared" si="5"/>
        <v>PRODUCT</v>
      </c>
      <c r="B146" s="6" t="s">
        <v>301</v>
      </c>
      <c r="C146" t="s">
        <v>577</v>
      </c>
      <c r="D146" t="s">
        <v>578</v>
      </c>
      <c r="F146" s="2" t="s">
        <v>255</v>
      </c>
    </row>
    <row r="147" spans="1:6" ht="16" x14ac:dyDescent="0.2">
      <c r="A147" s="6" t="str">
        <f t="shared" si="5"/>
        <v>PRODUCT</v>
      </c>
      <c r="B147" s="6" t="s">
        <v>301</v>
      </c>
      <c r="C147" t="s">
        <v>579</v>
      </c>
      <c r="D147" t="s">
        <v>580</v>
      </c>
      <c r="F147" s="2" t="s">
        <v>255</v>
      </c>
    </row>
    <row r="148" spans="1:6" ht="16" x14ac:dyDescent="0.2">
      <c r="A148" s="6" t="str">
        <f t="shared" si="5"/>
        <v>PRODUCT</v>
      </c>
      <c r="B148" s="6" t="s">
        <v>301</v>
      </c>
      <c r="C148" t="s">
        <v>581</v>
      </c>
      <c r="D148" t="s">
        <v>582</v>
      </c>
      <c r="F148" s="2" t="s">
        <v>255</v>
      </c>
    </row>
    <row r="149" spans="1:6" ht="16" x14ac:dyDescent="0.2">
      <c r="A149" s="6" t="str">
        <f t="shared" si="5"/>
        <v>PRODUCT</v>
      </c>
      <c r="B149" s="6" t="s">
        <v>301</v>
      </c>
      <c r="C149" t="s">
        <v>583</v>
      </c>
      <c r="D149" t="s">
        <v>584</v>
      </c>
      <c r="F149" s="2" t="s">
        <v>255</v>
      </c>
    </row>
    <row r="150" spans="1:6" ht="16" x14ac:dyDescent="0.2">
      <c r="A150" s="6" t="str">
        <f t="shared" si="5"/>
        <v>PRODUCT</v>
      </c>
      <c r="B150" s="6" t="s">
        <v>301</v>
      </c>
      <c r="C150" t="s">
        <v>585</v>
      </c>
      <c r="D150" t="s">
        <v>586</v>
      </c>
      <c r="F150" s="2" t="s">
        <v>255</v>
      </c>
    </row>
    <row r="151" spans="1:6" ht="16" x14ac:dyDescent="0.2">
      <c r="A151" s="6" t="str">
        <f t="shared" si="5"/>
        <v>PRODUCT</v>
      </c>
      <c r="B151" s="6" t="s">
        <v>301</v>
      </c>
      <c r="C151" t="s">
        <v>587</v>
      </c>
      <c r="D151" t="s">
        <v>588</v>
      </c>
      <c r="F151" s="2" t="s">
        <v>255</v>
      </c>
    </row>
    <row r="152" spans="1:6" ht="16" x14ac:dyDescent="0.2">
      <c r="A152" s="6" t="str">
        <f t="shared" si="5"/>
        <v>PRODUCT</v>
      </c>
      <c r="B152" s="6" t="s">
        <v>301</v>
      </c>
      <c r="C152" t="s">
        <v>589</v>
      </c>
      <c r="D152" t="s">
        <v>590</v>
      </c>
      <c r="F152" s="2" t="s">
        <v>255</v>
      </c>
    </row>
    <row r="153" spans="1:6" ht="16" x14ac:dyDescent="0.2">
      <c r="A153" s="6" t="str">
        <f t="shared" si="5"/>
        <v>PRODUCT</v>
      </c>
      <c r="B153" s="6" t="s">
        <v>301</v>
      </c>
      <c r="C153" t="s">
        <v>591</v>
      </c>
      <c r="D153" t="s">
        <v>592</v>
      </c>
      <c r="F153" s="2" t="s">
        <v>255</v>
      </c>
    </row>
    <row r="154" spans="1:6" ht="16" x14ac:dyDescent="0.2">
      <c r="A154" s="6" t="str">
        <f t="shared" si="5"/>
        <v>PRODUCT</v>
      </c>
      <c r="B154" s="6" t="s">
        <v>301</v>
      </c>
      <c r="C154" t="s">
        <v>593</v>
      </c>
      <c r="D154" t="s">
        <v>594</v>
      </c>
      <c r="F154" s="2" t="s">
        <v>255</v>
      </c>
    </row>
    <row r="155" spans="1:6" ht="16" x14ac:dyDescent="0.2">
      <c r="A155" s="6" t="str">
        <f t="shared" si="5"/>
        <v>PRODUCT</v>
      </c>
      <c r="B155" s="6" t="s">
        <v>301</v>
      </c>
      <c r="C155" t="s">
        <v>595</v>
      </c>
      <c r="D155" t="s">
        <v>596</v>
      </c>
      <c r="F155" s="2" t="s">
        <v>255</v>
      </c>
    </row>
    <row r="156" spans="1:6" ht="16" x14ac:dyDescent="0.2">
      <c r="A156" s="6" t="str">
        <f t="shared" si="5"/>
        <v>PRODUCT</v>
      </c>
      <c r="B156" s="6" t="s">
        <v>301</v>
      </c>
      <c r="C156" t="s">
        <v>597</v>
      </c>
      <c r="D156" t="s">
        <v>598</v>
      </c>
      <c r="F156" s="2" t="s">
        <v>255</v>
      </c>
    </row>
    <row r="157" spans="1:6" ht="16" x14ac:dyDescent="0.2">
      <c r="A157" s="6" t="str">
        <f t="shared" si="5"/>
        <v>PRODUCT</v>
      </c>
      <c r="B157" s="6" t="s">
        <v>301</v>
      </c>
      <c r="C157" t="s">
        <v>599</v>
      </c>
      <c r="D157" t="s">
        <v>600</v>
      </c>
      <c r="F157" s="2" t="s">
        <v>255</v>
      </c>
    </row>
    <row r="158" spans="1:6" ht="16" x14ac:dyDescent="0.2">
      <c r="A158" s="6" t="str">
        <f t="shared" si="5"/>
        <v>PRODUCT</v>
      </c>
      <c r="B158" s="6" t="s">
        <v>301</v>
      </c>
      <c r="C158" t="s">
        <v>601</v>
      </c>
      <c r="D158" t="s">
        <v>602</v>
      </c>
      <c r="F158" s="2" t="s">
        <v>255</v>
      </c>
    </row>
    <row r="159" spans="1:6" ht="16" x14ac:dyDescent="0.2">
      <c r="A159" s="6" t="str">
        <f t="shared" si="5"/>
        <v>PRODUCT</v>
      </c>
      <c r="B159" s="6" t="s">
        <v>301</v>
      </c>
      <c r="C159" t="s">
        <v>603</v>
      </c>
      <c r="D159" t="s">
        <v>604</v>
      </c>
      <c r="F159" s="2" t="s">
        <v>255</v>
      </c>
    </row>
    <row r="160" spans="1:6" ht="16" x14ac:dyDescent="0.2">
      <c r="A160" s="6" t="str">
        <f t="shared" si="5"/>
        <v>PRODUCT</v>
      </c>
      <c r="B160" s="6" t="s">
        <v>301</v>
      </c>
      <c r="C160" t="s">
        <v>603</v>
      </c>
      <c r="D160" t="s">
        <v>604</v>
      </c>
      <c r="F160" s="2" t="s">
        <v>255</v>
      </c>
    </row>
    <row r="161" spans="1:6" ht="16" x14ac:dyDescent="0.2">
      <c r="A161" s="6" t="str">
        <f t="shared" si="5"/>
        <v>PRODUCT</v>
      </c>
      <c r="B161" s="6" t="s">
        <v>301</v>
      </c>
      <c r="C161" t="s">
        <v>605</v>
      </c>
      <c r="D161" t="s">
        <v>606</v>
      </c>
      <c r="F161" s="2" t="s">
        <v>255</v>
      </c>
    </row>
    <row r="162" spans="1:6" ht="16" x14ac:dyDescent="0.2">
      <c r="A162" s="6" t="str">
        <f t="shared" si="5"/>
        <v>PRODUCT</v>
      </c>
      <c r="B162" s="6" t="s">
        <v>301</v>
      </c>
      <c r="C162" t="s">
        <v>607</v>
      </c>
      <c r="D162" t="s">
        <v>608</v>
      </c>
      <c r="F162" s="2" t="s">
        <v>255</v>
      </c>
    </row>
    <row r="163" spans="1:6" ht="16" x14ac:dyDescent="0.2">
      <c r="A163" s="6" t="str">
        <f t="shared" si="5"/>
        <v>PRODUCT</v>
      </c>
      <c r="B163" s="6" t="s">
        <v>301</v>
      </c>
      <c r="C163" t="s">
        <v>757</v>
      </c>
      <c r="D163" t="s">
        <v>609</v>
      </c>
      <c r="F163" s="2" t="s">
        <v>255</v>
      </c>
    </row>
    <row r="164" spans="1:6" ht="16" x14ac:dyDescent="0.2">
      <c r="A164" s="6" t="str">
        <f t="shared" si="5"/>
        <v>PRODUCT</v>
      </c>
      <c r="B164" s="6" t="s">
        <v>301</v>
      </c>
      <c r="C164" t="s">
        <v>766</v>
      </c>
      <c r="D164" t="s">
        <v>610</v>
      </c>
      <c r="F164" s="2" t="s">
        <v>255</v>
      </c>
    </row>
    <row r="165" spans="1:6" ht="16" x14ac:dyDescent="0.2">
      <c r="A165" s="6" t="str">
        <f t="shared" si="5"/>
        <v>PRODUCT</v>
      </c>
      <c r="B165" s="6" t="s">
        <v>301</v>
      </c>
      <c r="C165" t="s">
        <v>767</v>
      </c>
      <c r="D165" t="s">
        <v>611</v>
      </c>
      <c r="F165" s="2" t="s">
        <v>255</v>
      </c>
    </row>
    <row r="166" spans="1:6" ht="16" x14ac:dyDescent="0.2">
      <c r="A166" s="6" t="str">
        <f t="shared" ref="A166:A197" si="6">IF(C164&lt;&gt;"","PRODUCT","")</f>
        <v>PRODUCT</v>
      </c>
      <c r="B166" s="106" t="s">
        <v>301</v>
      </c>
      <c r="C166" t="s">
        <v>661</v>
      </c>
      <c r="D166" t="s">
        <v>662</v>
      </c>
      <c r="F166" s="2" t="s">
        <v>255</v>
      </c>
    </row>
    <row r="167" spans="1:6" ht="16" x14ac:dyDescent="0.2">
      <c r="A167" s="6" t="str">
        <f t="shared" si="6"/>
        <v>PRODUCT</v>
      </c>
      <c r="B167" s="106" t="s">
        <v>301</v>
      </c>
      <c r="C167" t="s">
        <v>663</v>
      </c>
      <c r="D167" t="s">
        <v>664</v>
      </c>
      <c r="F167" s="2" t="s">
        <v>255</v>
      </c>
    </row>
    <row r="168" spans="1:6" ht="16" x14ac:dyDescent="0.2">
      <c r="A168" s="6" t="str">
        <f t="shared" si="6"/>
        <v>PRODUCT</v>
      </c>
      <c r="B168" s="106" t="s">
        <v>301</v>
      </c>
      <c r="C168" t="s">
        <v>665</v>
      </c>
      <c r="D168" t="s">
        <v>666</v>
      </c>
      <c r="F168" s="2" t="s">
        <v>255</v>
      </c>
    </row>
    <row r="169" spans="1:6" ht="16" x14ac:dyDescent="0.2">
      <c r="A169" s="6" t="str">
        <f t="shared" si="6"/>
        <v>PRODUCT</v>
      </c>
      <c r="B169" s="106" t="s">
        <v>301</v>
      </c>
      <c r="C169" t="s">
        <v>667</v>
      </c>
      <c r="D169" t="s">
        <v>668</v>
      </c>
      <c r="F169" s="2" t="s">
        <v>255</v>
      </c>
    </row>
    <row r="170" spans="1:6" ht="16" x14ac:dyDescent="0.2">
      <c r="A170" s="6" t="str">
        <f t="shared" si="6"/>
        <v>PRODUCT</v>
      </c>
      <c r="B170" s="106" t="s">
        <v>301</v>
      </c>
      <c r="C170" t="s">
        <v>669</v>
      </c>
      <c r="D170" t="s">
        <v>670</v>
      </c>
      <c r="F170" s="2" t="s">
        <v>255</v>
      </c>
    </row>
    <row r="171" spans="1:6" ht="16" x14ac:dyDescent="0.2">
      <c r="A171" s="6" t="str">
        <f t="shared" si="6"/>
        <v>PRODUCT</v>
      </c>
      <c r="B171" s="106" t="s">
        <v>301</v>
      </c>
      <c r="C171" t="s">
        <v>671</v>
      </c>
      <c r="D171" t="s">
        <v>672</v>
      </c>
      <c r="F171" s="2" t="s">
        <v>255</v>
      </c>
    </row>
    <row r="172" spans="1:6" ht="16" x14ac:dyDescent="0.2">
      <c r="A172" s="6" t="str">
        <f t="shared" si="6"/>
        <v>PRODUCT</v>
      </c>
      <c r="B172" s="106" t="s">
        <v>301</v>
      </c>
      <c r="C172" t="s">
        <v>673</v>
      </c>
      <c r="D172" t="s">
        <v>674</v>
      </c>
      <c r="F172" s="2" t="s">
        <v>255</v>
      </c>
    </row>
    <row r="173" spans="1:6" ht="16" x14ac:dyDescent="0.2">
      <c r="A173" s="6" t="str">
        <f t="shared" si="6"/>
        <v>PRODUCT</v>
      </c>
      <c r="B173" s="106" t="s">
        <v>301</v>
      </c>
      <c r="C173" t="s">
        <v>675</v>
      </c>
      <c r="D173" t="s">
        <v>676</v>
      </c>
      <c r="F173" s="2" t="s">
        <v>255</v>
      </c>
    </row>
    <row r="174" spans="1:6" ht="16" x14ac:dyDescent="0.2">
      <c r="A174" s="6" t="str">
        <f t="shared" si="6"/>
        <v>PRODUCT</v>
      </c>
      <c r="B174" s="106" t="s">
        <v>301</v>
      </c>
      <c r="C174" t="s">
        <v>677</v>
      </c>
      <c r="D174" t="s">
        <v>678</v>
      </c>
      <c r="F174" s="2" t="s">
        <v>255</v>
      </c>
    </row>
    <row r="175" spans="1:6" ht="16" x14ac:dyDescent="0.2">
      <c r="A175" s="6" t="str">
        <f t="shared" si="6"/>
        <v>PRODUCT</v>
      </c>
      <c r="B175" s="106" t="s">
        <v>301</v>
      </c>
      <c r="C175" t="s">
        <v>679</v>
      </c>
      <c r="D175" t="s">
        <v>680</v>
      </c>
      <c r="F175" s="2" t="s">
        <v>255</v>
      </c>
    </row>
    <row r="176" spans="1:6" ht="16" x14ac:dyDescent="0.2">
      <c r="A176" s="6" t="str">
        <f t="shared" si="6"/>
        <v>PRODUCT</v>
      </c>
      <c r="B176" s="106" t="s">
        <v>301</v>
      </c>
      <c r="C176" t="s">
        <v>681</v>
      </c>
      <c r="D176" t="s">
        <v>682</v>
      </c>
      <c r="F176" s="2" t="s">
        <v>255</v>
      </c>
    </row>
    <row r="177" spans="1:6" ht="16" x14ac:dyDescent="0.2">
      <c r="A177" s="6" t="str">
        <f t="shared" si="6"/>
        <v>PRODUCT</v>
      </c>
      <c r="B177" s="106" t="s">
        <v>301</v>
      </c>
      <c r="C177" t="s">
        <v>683</v>
      </c>
      <c r="D177" t="s">
        <v>836</v>
      </c>
      <c r="F177" s="2" t="s">
        <v>255</v>
      </c>
    </row>
    <row r="178" spans="1:6" ht="16" x14ac:dyDescent="0.2">
      <c r="A178" s="6" t="str">
        <f t="shared" si="6"/>
        <v>PRODUCT</v>
      </c>
      <c r="B178" s="106" t="s">
        <v>301</v>
      </c>
      <c r="C178" t="s">
        <v>684</v>
      </c>
      <c r="D178" t="s">
        <v>685</v>
      </c>
      <c r="F178" s="2" t="s">
        <v>255</v>
      </c>
    </row>
    <row r="179" spans="1:6" ht="16" x14ac:dyDescent="0.2">
      <c r="A179" s="6" t="str">
        <f t="shared" si="6"/>
        <v>PRODUCT</v>
      </c>
      <c r="B179" s="106" t="s">
        <v>301</v>
      </c>
      <c r="C179" t="s">
        <v>686</v>
      </c>
      <c r="D179" t="s">
        <v>687</v>
      </c>
      <c r="F179" s="2" t="s">
        <v>255</v>
      </c>
    </row>
    <row r="180" spans="1:6" ht="16" x14ac:dyDescent="0.2">
      <c r="A180" s="6" t="str">
        <f t="shared" si="6"/>
        <v>PRODUCT</v>
      </c>
      <c r="B180" s="106" t="s">
        <v>301</v>
      </c>
      <c r="C180" t="s">
        <v>688</v>
      </c>
      <c r="D180" t="s">
        <v>689</v>
      </c>
      <c r="F180" s="2" t="s">
        <v>255</v>
      </c>
    </row>
    <row r="181" spans="1:6" ht="16" x14ac:dyDescent="0.2">
      <c r="A181" s="6" t="str">
        <f t="shared" si="6"/>
        <v>PRODUCT</v>
      </c>
      <c r="B181" s="106" t="s">
        <v>301</v>
      </c>
      <c r="C181" t="s">
        <v>690</v>
      </c>
      <c r="D181" t="s">
        <v>691</v>
      </c>
      <c r="F181" s="2" t="s">
        <v>255</v>
      </c>
    </row>
    <row r="182" spans="1:6" ht="16" x14ac:dyDescent="0.2">
      <c r="A182" s="6" t="str">
        <f t="shared" si="6"/>
        <v>PRODUCT</v>
      </c>
      <c r="B182" s="106" t="s">
        <v>301</v>
      </c>
      <c r="C182" t="s">
        <v>692</v>
      </c>
      <c r="D182" t="s">
        <v>837</v>
      </c>
      <c r="F182" s="2" t="s">
        <v>255</v>
      </c>
    </row>
    <row r="183" spans="1:6" ht="16" x14ac:dyDescent="0.2">
      <c r="A183" s="6" t="str">
        <f t="shared" si="6"/>
        <v>PRODUCT</v>
      </c>
      <c r="B183" s="106" t="s">
        <v>301</v>
      </c>
      <c r="C183" t="s">
        <v>693</v>
      </c>
      <c r="D183" t="s">
        <v>838</v>
      </c>
      <c r="F183" s="2" t="s">
        <v>255</v>
      </c>
    </row>
    <row r="184" spans="1:6" ht="16" x14ac:dyDescent="0.2">
      <c r="A184" s="6" t="str">
        <f t="shared" si="6"/>
        <v>PRODUCT</v>
      </c>
      <c r="B184" s="106" t="s">
        <v>301</v>
      </c>
      <c r="C184" t="s">
        <v>694</v>
      </c>
      <c r="D184" t="s">
        <v>695</v>
      </c>
      <c r="F184" s="2" t="s">
        <v>255</v>
      </c>
    </row>
    <row r="185" spans="1:6" ht="16" x14ac:dyDescent="0.2">
      <c r="A185" s="6" t="str">
        <f t="shared" si="6"/>
        <v>PRODUCT</v>
      </c>
      <c r="B185" s="106" t="s">
        <v>301</v>
      </c>
      <c r="C185" t="s">
        <v>696</v>
      </c>
      <c r="D185" t="s">
        <v>697</v>
      </c>
      <c r="F185" s="2" t="s">
        <v>255</v>
      </c>
    </row>
    <row r="186" spans="1:6" ht="16" x14ac:dyDescent="0.2">
      <c r="A186" s="6" t="str">
        <f t="shared" si="6"/>
        <v>PRODUCT</v>
      </c>
      <c r="B186" s="106" t="s">
        <v>301</v>
      </c>
      <c r="C186" t="s">
        <v>698</v>
      </c>
      <c r="D186" t="s">
        <v>699</v>
      </c>
      <c r="F186" s="2" t="s">
        <v>255</v>
      </c>
    </row>
    <row r="187" spans="1:6" ht="16" x14ac:dyDescent="0.2">
      <c r="A187" s="6" t="str">
        <f t="shared" si="6"/>
        <v>PRODUCT</v>
      </c>
      <c r="B187" s="106" t="s">
        <v>301</v>
      </c>
      <c r="C187" t="s">
        <v>700</v>
      </c>
      <c r="D187" t="s">
        <v>701</v>
      </c>
      <c r="F187" s="2" t="s">
        <v>255</v>
      </c>
    </row>
    <row r="188" spans="1:6" ht="16" x14ac:dyDescent="0.2">
      <c r="A188" s="6" t="str">
        <f t="shared" si="6"/>
        <v>PRODUCT</v>
      </c>
      <c r="B188" s="106" t="s">
        <v>301</v>
      </c>
      <c r="C188" t="s">
        <v>702</v>
      </c>
      <c r="D188" t="s">
        <v>703</v>
      </c>
      <c r="F188" s="2" t="s">
        <v>255</v>
      </c>
    </row>
    <row r="189" spans="1:6" ht="16" x14ac:dyDescent="0.2">
      <c r="A189" s="6" t="str">
        <f t="shared" si="6"/>
        <v>PRODUCT</v>
      </c>
      <c r="B189" s="106" t="s">
        <v>301</v>
      </c>
      <c r="C189" t="s">
        <v>704</v>
      </c>
      <c r="D189" t="s">
        <v>705</v>
      </c>
      <c r="F189" s="2" t="s">
        <v>255</v>
      </c>
    </row>
    <row r="190" spans="1:6" ht="16" x14ac:dyDescent="0.2">
      <c r="A190" s="6" t="str">
        <f t="shared" si="6"/>
        <v>PRODUCT</v>
      </c>
      <c r="B190" s="106" t="s">
        <v>301</v>
      </c>
      <c r="C190" t="s">
        <v>706</v>
      </c>
      <c r="D190" t="s">
        <v>707</v>
      </c>
      <c r="F190" s="2" t="s">
        <v>255</v>
      </c>
    </row>
    <row r="191" spans="1:6" ht="16" x14ac:dyDescent="0.2">
      <c r="A191" s="6" t="str">
        <f t="shared" si="6"/>
        <v>PRODUCT</v>
      </c>
      <c r="B191" s="106" t="s">
        <v>301</v>
      </c>
      <c r="C191" t="s">
        <v>624</v>
      </c>
      <c r="D191" t="s">
        <v>708</v>
      </c>
      <c r="F191" s="2" t="s">
        <v>255</v>
      </c>
    </row>
    <row r="192" spans="1:6" ht="16" x14ac:dyDescent="0.2">
      <c r="A192" s="6" t="str">
        <f t="shared" si="6"/>
        <v>PRODUCT</v>
      </c>
      <c r="B192" s="106" t="s">
        <v>301</v>
      </c>
      <c r="C192" t="s">
        <v>625</v>
      </c>
      <c r="D192" t="s">
        <v>709</v>
      </c>
      <c r="F192" s="2" t="s">
        <v>255</v>
      </c>
    </row>
    <row r="193" spans="1:6" ht="16" x14ac:dyDescent="0.2">
      <c r="A193" s="6" t="str">
        <f t="shared" si="6"/>
        <v>PRODUCT</v>
      </c>
      <c r="B193" s="106" t="s">
        <v>301</v>
      </c>
      <c r="C193" t="s">
        <v>626</v>
      </c>
      <c r="D193" t="s">
        <v>710</v>
      </c>
      <c r="F193" s="2" t="s">
        <v>255</v>
      </c>
    </row>
    <row r="194" spans="1:6" ht="16" x14ac:dyDescent="0.2">
      <c r="A194" s="6" t="str">
        <f t="shared" si="6"/>
        <v>PRODUCT</v>
      </c>
      <c r="B194" s="106" t="s">
        <v>301</v>
      </c>
      <c r="C194" t="s">
        <v>627</v>
      </c>
      <c r="D194" t="s">
        <v>711</v>
      </c>
      <c r="F194" s="2" t="s">
        <v>255</v>
      </c>
    </row>
    <row r="195" spans="1:6" ht="16" x14ac:dyDescent="0.2">
      <c r="A195" s="6" t="str">
        <f t="shared" si="6"/>
        <v>PRODUCT</v>
      </c>
      <c r="B195" s="106" t="s">
        <v>301</v>
      </c>
      <c r="C195" t="s">
        <v>628</v>
      </c>
      <c r="D195" t="s">
        <v>712</v>
      </c>
      <c r="F195" s="2" t="s">
        <v>255</v>
      </c>
    </row>
    <row r="196" spans="1:6" ht="16" x14ac:dyDescent="0.2">
      <c r="A196" s="6" t="str">
        <f t="shared" si="6"/>
        <v>PRODUCT</v>
      </c>
      <c r="B196" s="106" t="s">
        <v>301</v>
      </c>
      <c r="C196" t="s">
        <v>629</v>
      </c>
      <c r="D196" t="s">
        <v>713</v>
      </c>
      <c r="F196" s="2" t="s">
        <v>255</v>
      </c>
    </row>
    <row r="197" spans="1:6" ht="16" x14ac:dyDescent="0.2">
      <c r="A197" s="6" t="str">
        <f t="shared" si="6"/>
        <v>PRODUCT</v>
      </c>
      <c r="B197" s="106" t="s">
        <v>301</v>
      </c>
      <c r="C197" t="s">
        <v>630</v>
      </c>
      <c r="D197" t="s">
        <v>714</v>
      </c>
      <c r="F197" s="2" t="s">
        <v>255</v>
      </c>
    </row>
    <row r="198" spans="1:6" ht="16" x14ac:dyDescent="0.2">
      <c r="A198" s="6" t="str">
        <f t="shared" ref="A198:A229" si="7">IF(C196&lt;&gt;"","PRODUCT","")</f>
        <v>PRODUCT</v>
      </c>
      <c r="B198" s="106" t="s">
        <v>301</v>
      </c>
      <c r="C198" t="s">
        <v>631</v>
      </c>
      <c r="D198" t="s">
        <v>715</v>
      </c>
      <c r="F198" s="2" t="s">
        <v>255</v>
      </c>
    </row>
    <row r="199" spans="1:6" ht="16" x14ac:dyDescent="0.2">
      <c r="A199" s="6" t="str">
        <f t="shared" si="7"/>
        <v>PRODUCT</v>
      </c>
      <c r="B199" s="106" t="s">
        <v>301</v>
      </c>
      <c r="C199" t="s">
        <v>632</v>
      </c>
      <c r="D199" t="s">
        <v>716</v>
      </c>
      <c r="F199" s="2" t="s">
        <v>255</v>
      </c>
    </row>
    <row r="200" spans="1:6" ht="16" x14ac:dyDescent="0.2">
      <c r="A200" s="6" t="str">
        <f t="shared" si="7"/>
        <v>PRODUCT</v>
      </c>
      <c r="B200" s="106" t="s">
        <v>301</v>
      </c>
      <c r="C200" t="s">
        <v>633</v>
      </c>
      <c r="D200" t="s">
        <v>717</v>
      </c>
      <c r="F200" s="2" t="s">
        <v>255</v>
      </c>
    </row>
    <row r="201" spans="1:6" ht="16" x14ac:dyDescent="0.2">
      <c r="A201" s="6" t="str">
        <f t="shared" si="7"/>
        <v>PRODUCT</v>
      </c>
      <c r="B201" s="106" t="s">
        <v>301</v>
      </c>
      <c r="C201" t="s">
        <v>634</v>
      </c>
      <c r="D201" t="s">
        <v>718</v>
      </c>
      <c r="F201" s="2" t="s">
        <v>255</v>
      </c>
    </row>
    <row r="202" spans="1:6" ht="16" x14ac:dyDescent="0.2">
      <c r="A202" s="6" t="str">
        <f t="shared" si="7"/>
        <v>PRODUCT</v>
      </c>
      <c r="B202" s="106" t="s">
        <v>301</v>
      </c>
      <c r="C202" t="s">
        <v>635</v>
      </c>
      <c r="D202" t="s">
        <v>719</v>
      </c>
      <c r="F202" s="2" t="s">
        <v>255</v>
      </c>
    </row>
    <row r="203" spans="1:6" ht="16" x14ac:dyDescent="0.2">
      <c r="A203" s="6" t="str">
        <f t="shared" si="7"/>
        <v>PRODUCT</v>
      </c>
      <c r="B203" s="106" t="s">
        <v>301</v>
      </c>
      <c r="C203" t="s">
        <v>636</v>
      </c>
      <c r="D203" t="s">
        <v>720</v>
      </c>
      <c r="F203" s="2" t="s">
        <v>255</v>
      </c>
    </row>
    <row r="204" spans="1:6" ht="16" x14ac:dyDescent="0.2">
      <c r="A204" s="6" t="str">
        <f t="shared" si="7"/>
        <v>PRODUCT</v>
      </c>
      <c r="B204" s="106" t="s">
        <v>301</v>
      </c>
      <c r="C204" t="s">
        <v>637</v>
      </c>
      <c r="D204" t="s">
        <v>721</v>
      </c>
      <c r="F204" s="2" t="s">
        <v>255</v>
      </c>
    </row>
    <row r="205" spans="1:6" ht="16" x14ac:dyDescent="0.2">
      <c r="A205" s="6" t="str">
        <f t="shared" si="7"/>
        <v>PRODUCT</v>
      </c>
      <c r="B205" s="106" t="s">
        <v>301</v>
      </c>
      <c r="C205" t="s">
        <v>638</v>
      </c>
      <c r="D205" t="s">
        <v>722</v>
      </c>
      <c r="F205" s="2" t="s">
        <v>255</v>
      </c>
    </row>
    <row r="206" spans="1:6" ht="16" x14ac:dyDescent="0.2">
      <c r="A206" s="6" t="str">
        <f t="shared" si="7"/>
        <v>PRODUCT</v>
      </c>
      <c r="B206" s="106" t="s">
        <v>301</v>
      </c>
      <c r="C206" t="s">
        <v>639</v>
      </c>
      <c r="D206" t="s">
        <v>723</v>
      </c>
      <c r="F206" s="2" t="s">
        <v>255</v>
      </c>
    </row>
    <row r="207" spans="1:6" ht="16" x14ac:dyDescent="0.2">
      <c r="A207" s="6" t="str">
        <f t="shared" si="7"/>
        <v>PRODUCT</v>
      </c>
      <c r="B207" s="106" t="s">
        <v>301</v>
      </c>
      <c r="C207" t="s">
        <v>640</v>
      </c>
      <c r="D207" t="s">
        <v>724</v>
      </c>
      <c r="F207" s="2" t="s">
        <v>255</v>
      </c>
    </row>
    <row r="208" spans="1:6" ht="16" x14ac:dyDescent="0.2">
      <c r="A208" s="6" t="str">
        <f t="shared" si="7"/>
        <v>PRODUCT</v>
      </c>
      <c r="B208" s="106" t="s">
        <v>301</v>
      </c>
      <c r="C208" t="s">
        <v>641</v>
      </c>
      <c r="D208" t="s">
        <v>730</v>
      </c>
      <c r="F208" s="2" t="s">
        <v>255</v>
      </c>
    </row>
    <row r="209" spans="1:6" ht="16" x14ac:dyDescent="0.2">
      <c r="A209" s="6" t="str">
        <f t="shared" si="7"/>
        <v>PRODUCT</v>
      </c>
      <c r="B209" s="106" t="s">
        <v>301</v>
      </c>
      <c r="C209" t="s">
        <v>642</v>
      </c>
      <c r="D209" t="s">
        <v>731</v>
      </c>
      <c r="F209" s="2" t="s">
        <v>255</v>
      </c>
    </row>
    <row r="210" spans="1:6" ht="16" x14ac:dyDescent="0.2">
      <c r="A210" s="6" t="str">
        <f t="shared" si="7"/>
        <v>PRODUCT</v>
      </c>
      <c r="B210" s="106" t="s">
        <v>301</v>
      </c>
      <c r="C210" t="s">
        <v>643</v>
      </c>
      <c r="D210" t="s">
        <v>732</v>
      </c>
      <c r="F210" s="2" t="s">
        <v>255</v>
      </c>
    </row>
    <row r="211" spans="1:6" ht="16" x14ac:dyDescent="0.2">
      <c r="A211" s="6" t="str">
        <f t="shared" si="7"/>
        <v>PRODUCT</v>
      </c>
      <c r="B211" s="106" t="s">
        <v>301</v>
      </c>
      <c r="C211" t="s">
        <v>644</v>
      </c>
      <c r="D211" t="s">
        <v>725</v>
      </c>
      <c r="F211" s="2" t="s">
        <v>255</v>
      </c>
    </row>
    <row r="212" spans="1:6" ht="16" x14ac:dyDescent="0.2">
      <c r="A212" s="6" t="str">
        <f t="shared" si="7"/>
        <v>PRODUCT</v>
      </c>
      <c r="B212" s="106" t="s">
        <v>301</v>
      </c>
      <c r="C212" t="s">
        <v>645</v>
      </c>
      <c r="D212" t="s">
        <v>733</v>
      </c>
      <c r="F212" s="2" t="s">
        <v>255</v>
      </c>
    </row>
    <row r="213" spans="1:6" ht="16" x14ac:dyDescent="0.2">
      <c r="A213" s="6" t="str">
        <f t="shared" si="7"/>
        <v>PRODUCT</v>
      </c>
      <c r="B213" s="106" t="s">
        <v>301</v>
      </c>
      <c r="C213" t="s">
        <v>646</v>
      </c>
      <c r="D213" t="s">
        <v>734</v>
      </c>
      <c r="F213" s="2" t="s">
        <v>255</v>
      </c>
    </row>
    <row r="214" spans="1:6" ht="16" x14ac:dyDescent="0.2">
      <c r="A214" s="6" t="str">
        <f t="shared" si="7"/>
        <v>PRODUCT</v>
      </c>
      <c r="B214" s="106" t="s">
        <v>301</v>
      </c>
      <c r="C214" t="s">
        <v>647</v>
      </c>
      <c r="D214" t="s">
        <v>735</v>
      </c>
      <c r="F214" s="2" t="s">
        <v>255</v>
      </c>
    </row>
    <row r="215" spans="1:6" ht="16" x14ac:dyDescent="0.2">
      <c r="A215" s="6" t="str">
        <f t="shared" si="7"/>
        <v>PRODUCT</v>
      </c>
      <c r="B215" s="106" t="s">
        <v>301</v>
      </c>
      <c r="C215" t="s">
        <v>648</v>
      </c>
      <c r="D215" t="s">
        <v>726</v>
      </c>
      <c r="F215" s="2" t="s">
        <v>255</v>
      </c>
    </row>
    <row r="216" spans="1:6" ht="16" x14ac:dyDescent="0.2">
      <c r="A216" s="6" t="str">
        <f t="shared" si="7"/>
        <v>PRODUCT</v>
      </c>
      <c r="B216" s="106" t="s">
        <v>301</v>
      </c>
      <c r="C216" t="s">
        <v>649</v>
      </c>
      <c r="D216" t="s">
        <v>736</v>
      </c>
      <c r="F216" s="2" t="s">
        <v>255</v>
      </c>
    </row>
    <row r="217" spans="1:6" ht="16" x14ac:dyDescent="0.2">
      <c r="A217" s="6" t="str">
        <f t="shared" si="7"/>
        <v>PRODUCT</v>
      </c>
      <c r="B217" s="106" t="s">
        <v>301</v>
      </c>
      <c r="C217" t="s">
        <v>650</v>
      </c>
      <c r="D217" t="s">
        <v>737</v>
      </c>
      <c r="F217" s="2" t="s">
        <v>255</v>
      </c>
    </row>
    <row r="218" spans="1:6" ht="16" x14ac:dyDescent="0.2">
      <c r="A218" s="6" t="str">
        <f t="shared" si="7"/>
        <v>PRODUCT</v>
      </c>
      <c r="B218" s="106" t="s">
        <v>301</v>
      </c>
      <c r="C218" t="s">
        <v>651</v>
      </c>
      <c r="D218" t="s">
        <v>738</v>
      </c>
      <c r="F218" s="2" t="s">
        <v>255</v>
      </c>
    </row>
    <row r="219" spans="1:6" ht="16" x14ac:dyDescent="0.2">
      <c r="A219" s="6" t="str">
        <f t="shared" si="7"/>
        <v>PRODUCT</v>
      </c>
      <c r="B219" s="106" t="s">
        <v>301</v>
      </c>
      <c r="C219" t="s">
        <v>652</v>
      </c>
      <c r="D219" t="s">
        <v>727</v>
      </c>
      <c r="F219" s="2" t="s">
        <v>255</v>
      </c>
    </row>
    <row r="220" spans="1:6" ht="16" x14ac:dyDescent="0.2">
      <c r="A220" s="6" t="str">
        <f t="shared" si="7"/>
        <v>PRODUCT</v>
      </c>
      <c r="B220" s="106" t="s">
        <v>301</v>
      </c>
      <c r="C220" t="s">
        <v>653</v>
      </c>
      <c r="D220" t="s">
        <v>739</v>
      </c>
      <c r="F220" s="2" t="s">
        <v>255</v>
      </c>
    </row>
    <row r="221" spans="1:6" ht="16" x14ac:dyDescent="0.2">
      <c r="A221" s="6" t="str">
        <f t="shared" si="7"/>
        <v>PRODUCT</v>
      </c>
      <c r="B221" s="106" t="s">
        <v>301</v>
      </c>
      <c r="C221" t="s">
        <v>654</v>
      </c>
      <c r="D221" t="s">
        <v>740</v>
      </c>
      <c r="F221" s="2" t="s">
        <v>255</v>
      </c>
    </row>
    <row r="222" spans="1:6" ht="16" x14ac:dyDescent="0.2">
      <c r="A222" s="6" t="str">
        <f t="shared" si="7"/>
        <v>PRODUCT</v>
      </c>
      <c r="B222" s="106" t="s">
        <v>301</v>
      </c>
      <c r="C222" t="s">
        <v>655</v>
      </c>
      <c r="D222" t="s">
        <v>741</v>
      </c>
      <c r="F222" s="2" t="s">
        <v>255</v>
      </c>
    </row>
    <row r="223" spans="1:6" ht="16" x14ac:dyDescent="0.2">
      <c r="A223" s="6" t="str">
        <f t="shared" si="7"/>
        <v>PRODUCT</v>
      </c>
      <c r="B223" s="106" t="s">
        <v>301</v>
      </c>
      <c r="C223" t="s">
        <v>656</v>
      </c>
      <c r="D223" t="s">
        <v>728</v>
      </c>
      <c r="F223" s="2" t="s">
        <v>255</v>
      </c>
    </row>
    <row r="224" spans="1:6" ht="16" x14ac:dyDescent="0.2">
      <c r="A224" s="6" t="str">
        <f t="shared" si="7"/>
        <v>PRODUCT</v>
      </c>
      <c r="B224" s="106" t="s">
        <v>301</v>
      </c>
      <c r="C224" t="s">
        <v>657</v>
      </c>
      <c r="D224" t="s">
        <v>742</v>
      </c>
      <c r="F224" s="2" t="s">
        <v>255</v>
      </c>
    </row>
    <row r="225" spans="1:6" ht="16" x14ac:dyDescent="0.2">
      <c r="A225" s="6" t="str">
        <f t="shared" si="7"/>
        <v>PRODUCT</v>
      </c>
      <c r="B225" s="106" t="s">
        <v>301</v>
      </c>
      <c r="C225" t="s">
        <v>658</v>
      </c>
      <c r="D225" t="s">
        <v>743</v>
      </c>
      <c r="F225" s="2" t="s">
        <v>255</v>
      </c>
    </row>
    <row r="226" spans="1:6" ht="16" x14ac:dyDescent="0.2">
      <c r="A226" s="6" t="str">
        <f t="shared" si="7"/>
        <v>PRODUCT</v>
      </c>
      <c r="B226" s="106" t="s">
        <v>301</v>
      </c>
      <c r="C226" t="s">
        <v>659</v>
      </c>
      <c r="D226" t="s">
        <v>744</v>
      </c>
      <c r="F226" s="2" t="s">
        <v>255</v>
      </c>
    </row>
    <row r="227" spans="1:6" ht="16" x14ac:dyDescent="0.2">
      <c r="A227" s="6" t="str">
        <f t="shared" si="7"/>
        <v>PRODUCT</v>
      </c>
      <c r="B227" s="106" t="s">
        <v>301</v>
      </c>
      <c r="C227" t="s">
        <v>660</v>
      </c>
      <c r="D227" t="s">
        <v>729</v>
      </c>
      <c r="F227" s="2" t="s">
        <v>255</v>
      </c>
    </row>
    <row r="228" spans="1:6" ht="16" x14ac:dyDescent="0.2">
      <c r="A228" s="6" t="str">
        <f t="shared" si="7"/>
        <v>PRODUCT</v>
      </c>
      <c r="B228" s="106" t="s">
        <v>301</v>
      </c>
      <c r="C228" t="s">
        <v>773</v>
      </c>
      <c r="D228" t="s">
        <v>839</v>
      </c>
      <c r="F228" s="2" t="s">
        <v>255</v>
      </c>
    </row>
    <row r="229" spans="1:6" ht="16" x14ac:dyDescent="0.2">
      <c r="A229" s="6" t="str">
        <f t="shared" si="7"/>
        <v>PRODUCT</v>
      </c>
      <c r="B229" s="106" t="s">
        <v>301</v>
      </c>
      <c r="C229" t="s">
        <v>774</v>
      </c>
      <c r="D229" t="s">
        <v>840</v>
      </c>
      <c r="F229" s="2" t="s">
        <v>255</v>
      </c>
    </row>
    <row r="230" spans="1:6" ht="16" x14ac:dyDescent="0.2">
      <c r="A230" s="6" t="str">
        <f t="shared" ref="A230:A261" si="8">IF(C228&lt;&gt;"","PRODUCT","")</f>
        <v>PRODUCT</v>
      </c>
      <c r="B230" s="106" t="s">
        <v>301</v>
      </c>
      <c r="C230" t="s">
        <v>775</v>
      </c>
      <c r="D230" t="s">
        <v>841</v>
      </c>
      <c r="F230" s="2" t="s">
        <v>255</v>
      </c>
    </row>
    <row r="231" spans="1:6" ht="16" x14ac:dyDescent="0.2">
      <c r="A231" s="6" t="str">
        <f t="shared" si="8"/>
        <v>PRODUCT</v>
      </c>
      <c r="B231" s="106" t="s">
        <v>301</v>
      </c>
      <c r="C231" t="s">
        <v>776</v>
      </c>
      <c r="D231" t="s">
        <v>842</v>
      </c>
      <c r="F231" s="2" t="s">
        <v>255</v>
      </c>
    </row>
    <row r="232" spans="1:6" ht="16" x14ac:dyDescent="0.2">
      <c r="A232" s="6" t="str">
        <f t="shared" si="8"/>
        <v>PRODUCT</v>
      </c>
      <c r="B232" s="106" t="s">
        <v>301</v>
      </c>
      <c r="C232" t="s">
        <v>777</v>
      </c>
      <c r="D232" t="s">
        <v>843</v>
      </c>
      <c r="F232" s="2" t="s">
        <v>255</v>
      </c>
    </row>
    <row r="233" spans="1:6" ht="16" x14ac:dyDescent="0.2">
      <c r="A233" s="6" t="str">
        <f t="shared" si="8"/>
        <v>PRODUCT</v>
      </c>
      <c r="B233" s="106" t="s">
        <v>301</v>
      </c>
      <c r="C233" t="s">
        <v>778</v>
      </c>
      <c r="D233" t="s">
        <v>844</v>
      </c>
      <c r="F233" s="2" t="s">
        <v>255</v>
      </c>
    </row>
    <row r="234" spans="1:6" ht="16" x14ac:dyDescent="0.2">
      <c r="A234" s="6" t="str">
        <f t="shared" si="8"/>
        <v>PRODUCT</v>
      </c>
      <c r="B234" s="106" t="s">
        <v>301</v>
      </c>
      <c r="C234" t="s">
        <v>779</v>
      </c>
      <c r="D234" t="s">
        <v>845</v>
      </c>
      <c r="F234" s="2" t="s">
        <v>255</v>
      </c>
    </row>
    <row r="235" spans="1:6" ht="16" x14ac:dyDescent="0.2">
      <c r="A235" s="6" t="str">
        <f t="shared" si="8"/>
        <v>PRODUCT</v>
      </c>
      <c r="B235" s="106" t="s">
        <v>301</v>
      </c>
      <c r="C235" t="s">
        <v>780</v>
      </c>
      <c r="D235" t="s">
        <v>846</v>
      </c>
      <c r="F235" s="2" t="s">
        <v>255</v>
      </c>
    </row>
    <row r="236" spans="1:6" ht="16" x14ac:dyDescent="0.2">
      <c r="A236" s="6" t="str">
        <f t="shared" si="8"/>
        <v>PRODUCT</v>
      </c>
      <c r="B236" s="106" t="s">
        <v>301</v>
      </c>
      <c r="C236" t="s">
        <v>781</v>
      </c>
      <c r="D236" t="s">
        <v>847</v>
      </c>
      <c r="F236" s="2" t="s">
        <v>255</v>
      </c>
    </row>
    <row r="237" spans="1:6" ht="16" x14ac:dyDescent="0.2">
      <c r="A237" s="6" t="str">
        <f t="shared" si="8"/>
        <v>PRODUCT</v>
      </c>
      <c r="B237" s="106" t="s">
        <v>301</v>
      </c>
      <c r="C237" t="s">
        <v>782</v>
      </c>
      <c r="D237" t="s">
        <v>848</v>
      </c>
      <c r="F237" s="2" t="s">
        <v>255</v>
      </c>
    </row>
    <row r="238" spans="1:6" ht="16" x14ac:dyDescent="0.2">
      <c r="A238" s="6" t="str">
        <f t="shared" si="8"/>
        <v>PRODUCT</v>
      </c>
      <c r="B238" s="106" t="s">
        <v>301</v>
      </c>
      <c r="C238" t="s">
        <v>783</v>
      </c>
      <c r="D238" t="s">
        <v>849</v>
      </c>
      <c r="F238" s="2" t="s">
        <v>255</v>
      </c>
    </row>
    <row r="239" spans="1:6" ht="16" x14ac:dyDescent="0.2">
      <c r="A239" s="6" t="str">
        <f t="shared" si="8"/>
        <v>PRODUCT</v>
      </c>
      <c r="B239" s="106" t="s">
        <v>301</v>
      </c>
      <c r="C239" t="s">
        <v>784</v>
      </c>
      <c r="D239" t="s">
        <v>850</v>
      </c>
      <c r="F239" s="2" t="s">
        <v>255</v>
      </c>
    </row>
    <row r="240" spans="1:6" ht="16" x14ac:dyDescent="0.2">
      <c r="A240" s="6" t="str">
        <f t="shared" si="8"/>
        <v>PRODUCT</v>
      </c>
      <c r="B240" s="106" t="s">
        <v>301</v>
      </c>
      <c r="C240" t="s">
        <v>785</v>
      </c>
      <c r="D240" t="s">
        <v>851</v>
      </c>
      <c r="F240" s="2" t="s">
        <v>255</v>
      </c>
    </row>
    <row r="241" spans="1:6" ht="16" x14ac:dyDescent="0.2">
      <c r="A241" s="6" t="str">
        <f t="shared" si="8"/>
        <v>PRODUCT</v>
      </c>
      <c r="B241" s="106" t="s">
        <v>301</v>
      </c>
      <c r="C241" t="s">
        <v>786</v>
      </c>
      <c r="D241" t="s">
        <v>852</v>
      </c>
      <c r="F241" s="2" t="s">
        <v>255</v>
      </c>
    </row>
    <row r="242" spans="1:6" ht="16" x14ac:dyDescent="0.2">
      <c r="A242" s="6" t="str">
        <f t="shared" si="8"/>
        <v>PRODUCT</v>
      </c>
      <c r="B242" s="106" t="s">
        <v>301</v>
      </c>
      <c r="C242" t="s">
        <v>787</v>
      </c>
      <c r="D242" t="s">
        <v>853</v>
      </c>
      <c r="F242" s="2" t="s">
        <v>255</v>
      </c>
    </row>
    <row r="243" spans="1:6" ht="16" x14ac:dyDescent="0.2">
      <c r="A243" s="6" t="str">
        <f t="shared" si="8"/>
        <v>PRODUCT</v>
      </c>
      <c r="B243" s="106" t="s">
        <v>301</v>
      </c>
      <c r="C243" t="s">
        <v>788</v>
      </c>
      <c r="D243" t="s">
        <v>854</v>
      </c>
      <c r="F243" s="2" t="s">
        <v>255</v>
      </c>
    </row>
    <row r="244" spans="1:6" ht="16" x14ac:dyDescent="0.2">
      <c r="A244" s="6" t="str">
        <f t="shared" si="8"/>
        <v>PRODUCT</v>
      </c>
      <c r="B244" s="106" t="s">
        <v>301</v>
      </c>
      <c r="C244" t="s">
        <v>789</v>
      </c>
      <c r="D244" t="s">
        <v>855</v>
      </c>
      <c r="F244" s="2" t="s">
        <v>255</v>
      </c>
    </row>
    <row r="245" spans="1:6" ht="16" x14ac:dyDescent="0.2">
      <c r="A245" s="6" t="str">
        <f t="shared" si="8"/>
        <v>PRODUCT</v>
      </c>
      <c r="B245" s="106" t="s">
        <v>301</v>
      </c>
      <c r="C245" t="s">
        <v>790</v>
      </c>
      <c r="D245" t="s">
        <v>856</v>
      </c>
      <c r="F245" s="2" t="s">
        <v>255</v>
      </c>
    </row>
    <row r="246" spans="1:6" ht="16" x14ac:dyDescent="0.2">
      <c r="A246" s="6" t="str">
        <f t="shared" si="8"/>
        <v>PRODUCT</v>
      </c>
      <c r="B246" s="106" t="s">
        <v>301</v>
      </c>
      <c r="C246" t="s">
        <v>791</v>
      </c>
      <c r="D246" t="s">
        <v>857</v>
      </c>
      <c r="F246" s="2" t="s">
        <v>255</v>
      </c>
    </row>
    <row r="247" spans="1:6" ht="16" x14ac:dyDescent="0.2">
      <c r="A247" s="6" t="str">
        <f t="shared" si="8"/>
        <v>PRODUCT</v>
      </c>
      <c r="B247" s="106" t="s">
        <v>301</v>
      </c>
      <c r="C247" t="s">
        <v>792</v>
      </c>
      <c r="D247" t="s">
        <v>858</v>
      </c>
      <c r="F247" s="2" t="s">
        <v>255</v>
      </c>
    </row>
    <row r="248" spans="1:6" ht="16" x14ac:dyDescent="0.2">
      <c r="A248" s="6" t="str">
        <f t="shared" si="8"/>
        <v>PRODUCT</v>
      </c>
      <c r="B248" s="106" t="s">
        <v>301</v>
      </c>
      <c r="C248" t="s">
        <v>793</v>
      </c>
      <c r="D248" t="s">
        <v>859</v>
      </c>
      <c r="F248" s="2" t="s">
        <v>255</v>
      </c>
    </row>
    <row r="249" spans="1:6" ht="16" x14ac:dyDescent="0.2">
      <c r="A249" s="6" t="str">
        <f t="shared" si="8"/>
        <v>PRODUCT</v>
      </c>
      <c r="B249" s="106" t="s">
        <v>301</v>
      </c>
      <c r="C249" t="s">
        <v>794</v>
      </c>
      <c r="D249" t="s">
        <v>860</v>
      </c>
      <c r="F249" s="2" t="s">
        <v>255</v>
      </c>
    </row>
    <row r="250" spans="1:6" ht="16" x14ac:dyDescent="0.2">
      <c r="A250" s="6" t="str">
        <f t="shared" si="8"/>
        <v>PRODUCT</v>
      </c>
      <c r="B250" s="106" t="s">
        <v>301</v>
      </c>
      <c r="C250" t="s">
        <v>795</v>
      </c>
      <c r="D250" t="s">
        <v>861</v>
      </c>
      <c r="F250" s="2" t="s">
        <v>255</v>
      </c>
    </row>
    <row r="251" spans="1:6" ht="16" x14ac:dyDescent="0.2">
      <c r="A251" s="6" t="str">
        <f t="shared" si="8"/>
        <v>PRODUCT</v>
      </c>
      <c r="B251" s="106" t="s">
        <v>301</v>
      </c>
      <c r="C251" t="s">
        <v>796</v>
      </c>
      <c r="D251" t="s">
        <v>862</v>
      </c>
      <c r="F251" s="2" t="s">
        <v>255</v>
      </c>
    </row>
    <row r="252" spans="1:6" ht="16" x14ac:dyDescent="0.2">
      <c r="A252" s="6" t="str">
        <f t="shared" si="8"/>
        <v>PRODUCT</v>
      </c>
      <c r="B252" s="106" t="s">
        <v>301</v>
      </c>
      <c r="C252" t="s">
        <v>797</v>
      </c>
      <c r="D252" t="s">
        <v>863</v>
      </c>
      <c r="F252" s="2" t="s">
        <v>255</v>
      </c>
    </row>
    <row r="253" spans="1:6" ht="16" x14ac:dyDescent="0.2">
      <c r="A253" s="6" t="str">
        <f t="shared" si="8"/>
        <v>PRODUCT</v>
      </c>
      <c r="B253" s="106" t="s">
        <v>301</v>
      </c>
      <c r="C253" t="s">
        <v>798</v>
      </c>
      <c r="D253" t="s">
        <v>864</v>
      </c>
      <c r="F253" s="2" t="s">
        <v>255</v>
      </c>
    </row>
    <row r="254" spans="1:6" ht="16" x14ac:dyDescent="0.2">
      <c r="A254" s="6" t="str">
        <f t="shared" si="8"/>
        <v>PRODUCT</v>
      </c>
      <c r="B254" s="106" t="s">
        <v>301</v>
      </c>
      <c r="C254" t="s">
        <v>799</v>
      </c>
      <c r="D254" t="s">
        <v>865</v>
      </c>
      <c r="F254" s="2" t="s">
        <v>255</v>
      </c>
    </row>
    <row r="255" spans="1:6" ht="16" x14ac:dyDescent="0.2">
      <c r="A255" s="6" t="str">
        <f t="shared" si="8"/>
        <v>PRODUCT</v>
      </c>
      <c r="B255" s="106" t="s">
        <v>301</v>
      </c>
      <c r="C255" t="s">
        <v>800</v>
      </c>
      <c r="D255" t="s">
        <v>866</v>
      </c>
      <c r="F255" s="2" t="s">
        <v>255</v>
      </c>
    </row>
    <row r="256" spans="1:6" ht="16" x14ac:dyDescent="0.2">
      <c r="A256" s="6" t="str">
        <f t="shared" si="8"/>
        <v>PRODUCT</v>
      </c>
      <c r="B256" s="106" t="s">
        <v>301</v>
      </c>
      <c r="C256" t="s">
        <v>801</v>
      </c>
      <c r="D256" t="s">
        <v>867</v>
      </c>
      <c r="F256" s="2" t="s">
        <v>255</v>
      </c>
    </row>
    <row r="257" spans="1:6" ht="16" x14ac:dyDescent="0.2">
      <c r="A257" s="6" t="str">
        <f t="shared" si="8"/>
        <v>PRODUCT</v>
      </c>
      <c r="B257" s="106" t="s">
        <v>301</v>
      </c>
      <c r="C257" t="s">
        <v>802</v>
      </c>
      <c r="D257" t="s">
        <v>868</v>
      </c>
      <c r="F257" s="2" t="s">
        <v>255</v>
      </c>
    </row>
    <row r="258" spans="1:6" ht="16" x14ac:dyDescent="0.2">
      <c r="A258" s="6" t="str">
        <f t="shared" si="8"/>
        <v>PRODUCT</v>
      </c>
      <c r="B258" s="106" t="s">
        <v>301</v>
      </c>
      <c r="C258" t="s">
        <v>803</v>
      </c>
      <c r="D258" t="s">
        <v>869</v>
      </c>
      <c r="F258" s="2" t="s">
        <v>255</v>
      </c>
    </row>
    <row r="259" spans="1:6" ht="16" x14ac:dyDescent="0.2">
      <c r="A259" s="6" t="str">
        <f t="shared" si="8"/>
        <v>PRODUCT</v>
      </c>
      <c r="B259" s="106" t="s">
        <v>301</v>
      </c>
      <c r="C259" t="s">
        <v>804</v>
      </c>
      <c r="D259" t="s">
        <v>870</v>
      </c>
      <c r="F259" s="2" t="s">
        <v>255</v>
      </c>
    </row>
    <row r="260" spans="1:6" ht="16" x14ac:dyDescent="0.2">
      <c r="A260" s="6" t="str">
        <f t="shared" si="8"/>
        <v>PRODUCT</v>
      </c>
      <c r="B260" s="106" t="s">
        <v>301</v>
      </c>
      <c r="C260" t="s">
        <v>805</v>
      </c>
      <c r="D260" t="s">
        <v>871</v>
      </c>
      <c r="F260" s="2" t="s">
        <v>255</v>
      </c>
    </row>
    <row r="261" spans="1:6" ht="16" x14ac:dyDescent="0.2">
      <c r="A261" s="6" t="str">
        <f t="shared" si="8"/>
        <v>PRODUCT</v>
      </c>
      <c r="B261" s="106" t="s">
        <v>301</v>
      </c>
      <c r="C261" t="s">
        <v>806</v>
      </c>
      <c r="D261" t="s">
        <v>872</v>
      </c>
      <c r="F261" s="2" t="s">
        <v>255</v>
      </c>
    </row>
    <row r="262" spans="1:6" ht="16" x14ac:dyDescent="0.2">
      <c r="A262" s="6" t="str">
        <f t="shared" ref="A262:A290" si="9">IF(C260&lt;&gt;"","PRODUCT","")</f>
        <v>PRODUCT</v>
      </c>
      <c r="B262" s="106" t="s">
        <v>301</v>
      </c>
      <c r="C262" t="s">
        <v>807</v>
      </c>
      <c r="D262" t="s">
        <v>873</v>
      </c>
      <c r="F262" s="2" t="s">
        <v>255</v>
      </c>
    </row>
    <row r="263" spans="1:6" ht="16" x14ac:dyDescent="0.2">
      <c r="A263" s="6" t="str">
        <f t="shared" si="9"/>
        <v>PRODUCT</v>
      </c>
      <c r="B263" s="106" t="s">
        <v>301</v>
      </c>
      <c r="C263" t="s">
        <v>808</v>
      </c>
      <c r="D263" t="s">
        <v>874</v>
      </c>
      <c r="F263" s="2" t="s">
        <v>255</v>
      </c>
    </row>
    <row r="264" spans="1:6" ht="16" x14ac:dyDescent="0.2">
      <c r="A264" s="6" t="str">
        <f t="shared" si="9"/>
        <v>PRODUCT</v>
      </c>
      <c r="B264" s="106" t="s">
        <v>301</v>
      </c>
      <c r="C264" t="s">
        <v>809</v>
      </c>
      <c r="D264" t="s">
        <v>875</v>
      </c>
      <c r="F264" s="2" t="s">
        <v>255</v>
      </c>
    </row>
    <row r="265" spans="1:6" ht="16" x14ac:dyDescent="0.2">
      <c r="A265" s="6" t="str">
        <f t="shared" si="9"/>
        <v>PRODUCT</v>
      </c>
      <c r="B265" s="106" t="s">
        <v>301</v>
      </c>
      <c r="C265" t="s">
        <v>810</v>
      </c>
      <c r="D265" t="s">
        <v>876</v>
      </c>
      <c r="F265" s="2" t="s">
        <v>255</v>
      </c>
    </row>
    <row r="266" spans="1:6" ht="16" x14ac:dyDescent="0.2">
      <c r="A266" s="6" t="str">
        <f t="shared" si="9"/>
        <v>PRODUCT</v>
      </c>
      <c r="B266" s="106" t="s">
        <v>301</v>
      </c>
      <c r="C266" t="s">
        <v>811</v>
      </c>
      <c r="D266" t="s">
        <v>877</v>
      </c>
      <c r="F266" s="2" t="s">
        <v>255</v>
      </c>
    </row>
    <row r="267" spans="1:6" ht="16" x14ac:dyDescent="0.2">
      <c r="A267" s="6" t="str">
        <f t="shared" si="9"/>
        <v>PRODUCT</v>
      </c>
      <c r="B267" s="106" t="s">
        <v>301</v>
      </c>
      <c r="C267" t="s">
        <v>812</v>
      </c>
      <c r="D267" t="s">
        <v>878</v>
      </c>
      <c r="F267" s="2" t="s">
        <v>255</v>
      </c>
    </row>
    <row r="268" spans="1:6" ht="16" x14ac:dyDescent="0.2">
      <c r="A268" s="6" t="str">
        <f t="shared" si="9"/>
        <v>PRODUCT</v>
      </c>
      <c r="B268" s="106" t="s">
        <v>301</v>
      </c>
      <c r="C268" t="s">
        <v>813</v>
      </c>
      <c r="D268" t="s">
        <v>879</v>
      </c>
      <c r="F268" s="2" t="s">
        <v>255</v>
      </c>
    </row>
    <row r="269" spans="1:6" ht="16" x14ac:dyDescent="0.2">
      <c r="A269" s="6" t="str">
        <f t="shared" si="9"/>
        <v>PRODUCT</v>
      </c>
      <c r="B269" s="106" t="s">
        <v>301</v>
      </c>
      <c r="C269" t="s">
        <v>814</v>
      </c>
      <c r="D269" t="s">
        <v>880</v>
      </c>
      <c r="F269" s="2" t="s">
        <v>255</v>
      </c>
    </row>
    <row r="270" spans="1:6" ht="16" x14ac:dyDescent="0.2">
      <c r="A270" s="6" t="str">
        <f t="shared" si="9"/>
        <v>PRODUCT</v>
      </c>
      <c r="B270" s="106" t="s">
        <v>301</v>
      </c>
      <c r="C270" t="s">
        <v>815</v>
      </c>
      <c r="D270" t="s">
        <v>881</v>
      </c>
      <c r="F270" s="2" t="s">
        <v>255</v>
      </c>
    </row>
    <row r="271" spans="1:6" ht="16" x14ac:dyDescent="0.2">
      <c r="A271" s="6" t="str">
        <f t="shared" si="9"/>
        <v>PRODUCT</v>
      </c>
      <c r="B271" s="106" t="s">
        <v>301</v>
      </c>
      <c r="C271" t="s">
        <v>816</v>
      </c>
      <c r="D271" t="s">
        <v>882</v>
      </c>
      <c r="F271" s="2" t="s">
        <v>255</v>
      </c>
    </row>
    <row r="272" spans="1:6" ht="16" x14ac:dyDescent="0.2">
      <c r="A272" s="6" t="str">
        <f t="shared" si="9"/>
        <v>PRODUCT</v>
      </c>
      <c r="B272" s="106" t="s">
        <v>301</v>
      </c>
      <c r="C272" t="s">
        <v>817</v>
      </c>
      <c r="D272" t="s">
        <v>883</v>
      </c>
      <c r="F272" s="2" t="s">
        <v>255</v>
      </c>
    </row>
    <row r="273" spans="1:6" ht="16" x14ac:dyDescent="0.2">
      <c r="A273" s="6" t="str">
        <f t="shared" si="9"/>
        <v>PRODUCT</v>
      </c>
      <c r="B273" s="106" t="s">
        <v>301</v>
      </c>
      <c r="C273" t="s">
        <v>818</v>
      </c>
      <c r="D273" t="s">
        <v>884</v>
      </c>
      <c r="F273" s="2" t="s">
        <v>255</v>
      </c>
    </row>
    <row r="274" spans="1:6" ht="16" x14ac:dyDescent="0.2">
      <c r="A274" s="6" t="str">
        <f t="shared" si="9"/>
        <v>PRODUCT</v>
      </c>
      <c r="B274" s="106" t="s">
        <v>301</v>
      </c>
      <c r="C274" t="s">
        <v>819</v>
      </c>
      <c r="D274" t="s">
        <v>885</v>
      </c>
      <c r="F274" s="2" t="s">
        <v>255</v>
      </c>
    </row>
    <row r="275" spans="1:6" ht="16" x14ac:dyDescent="0.2">
      <c r="A275" s="6" t="str">
        <f t="shared" si="9"/>
        <v>PRODUCT</v>
      </c>
      <c r="B275" s="106" t="s">
        <v>301</v>
      </c>
      <c r="C275" t="s">
        <v>820</v>
      </c>
      <c r="D275" t="s">
        <v>886</v>
      </c>
      <c r="F275" s="2" t="s">
        <v>255</v>
      </c>
    </row>
    <row r="276" spans="1:6" ht="16" x14ac:dyDescent="0.2">
      <c r="A276" s="6" t="str">
        <f t="shared" si="9"/>
        <v>PRODUCT</v>
      </c>
      <c r="B276" s="106" t="s">
        <v>301</v>
      </c>
      <c r="C276" t="s">
        <v>821</v>
      </c>
      <c r="D276" t="s">
        <v>887</v>
      </c>
      <c r="F276" s="2" t="s">
        <v>255</v>
      </c>
    </row>
    <row r="277" spans="1:6" ht="16" x14ac:dyDescent="0.2">
      <c r="A277" s="6" t="str">
        <f t="shared" si="9"/>
        <v>PRODUCT</v>
      </c>
      <c r="B277" s="106" t="s">
        <v>301</v>
      </c>
      <c r="C277" t="s">
        <v>822</v>
      </c>
      <c r="D277" t="s">
        <v>888</v>
      </c>
      <c r="F277" s="2" t="s">
        <v>255</v>
      </c>
    </row>
    <row r="278" spans="1:6" ht="16" x14ac:dyDescent="0.2">
      <c r="A278" s="6" t="str">
        <f t="shared" si="9"/>
        <v>PRODUCT</v>
      </c>
      <c r="B278" s="106" t="s">
        <v>301</v>
      </c>
      <c r="C278" t="s">
        <v>823</v>
      </c>
      <c r="D278" t="s">
        <v>889</v>
      </c>
      <c r="F278" s="2" t="s">
        <v>255</v>
      </c>
    </row>
    <row r="279" spans="1:6" ht="16" x14ac:dyDescent="0.2">
      <c r="A279" s="6" t="str">
        <f t="shared" si="9"/>
        <v>PRODUCT</v>
      </c>
      <c r="B279" s="106" t="s">
        <v>301</v>
      </c>
      <c r="C279" t="s">
        <v>824</v>
      </c>
      <c r="D279" t="s">
        <v>890</v>
      </c>
      <c r="F279" s="2" t="s">
        <v>255</v>
      </c>
    </row>
    <row r="280" spans="1:6" ht="16" x14ac:dyDescent="0.2">
      <c r="A280" s="6" t="str">
        <f t="shared" si="9"/>
        <v>PRODUCT</v>
      </c>
      <c r="B280" s="106" t="s">
        <v>301</v>
      </c>
      <c r="C280" t="s">
        <v>825</v>
      </c>
      <c r="D280" t="s">
        <v>891</v>
      </c>
      <c r="F280" s="2" t="s">
        <v>255</v>
      </c>
    </row>
    <row r="281" spans="1:6" ht="16" x14ac:dyDescent="0.2">
      <c r="A281" s="6" t="str">
        <f t="shared" si="9"/>
        <v>PRODUCT</v>
      </c>
      <c r="B281" s="106" t="s">
        <v>301</v>
      </c>
      <c r="C281" t="s">
        <v>826</v>
      </c>
      <c r="D281" t="s">
        <v>892</v>
      </c>
      <c r="F281" s="2" t="s">
        <v>255</v>
      </c>
    </row>
    <row r="282" spans="1:6" ht="16" x14ac:dyDescent="0.2">
      <c r="A282" s="6" t="str">
        <f t="shared" si="9"/>
        <v>PRODUCT</v>
      </c>
      <c r="B282" s="106" t="s">
        <v>301</v>
      </c>
      <c r="C282" t="s">
        <v>827</v>
      </c>
      <c r="D282" t="s">
        <v>893</v>
      </c>
      <c r="F282" s="2" t="s">
        <v>255</v>
      </c>
    </row>
    <row r="283" spans="1:6" ht="16" x14ac:dyDescent="0.2">
      <c r="A283" s="6" t="str">
        <f t="shared" si="9"/>
        <v>PRODUCT</v>
      </c>
      <c r="B283" s="106" t="s">
        <v>301</v>
      </c>
      <c r="C283" t="s">
        <v>828</v>
      </c>
      <c r="D283" t="s">
        <v>894</v>
      </c>
      <c r="F283" s="2" t="s">
        <v>255</v>
      </c>
    </row>
    <row r="284" spans="1:6" ht="16" x14ac:dyDescent="0.2">
      <c r="A284" s="6" t="str">
        <f t="shared" si="9"/>
        <v>PRODUCT</v>
      </c>
      <c r="B284" s="106" t="s">
        <v>301</v>
      </c>
      <c r="C284" t="s">
        <v>829</v>
      </c>
      <c r="D284" t="s">
        <v>895</v>
      </c>
      <c r="F284" s="2" t="s">
        <v>255</v>
      </c>
    </row>
    <row r="285" spans="1:6" ht="16" x14ac:dyDescent="0.2">
      <c r="A285" s="6" t="str">
        <f t="shared" si="9"/>
        <v>PRODUCT</v>
      </c>
      <c r="B285" s="106" t="s">
        <v>301</v>
      </c>
      <c r="C285" t="s">
        <v>830</v>
      </c>
      <c r="D285" t="s">
        <v>896</v>
      </c>
      <c r="F285" s="2" t="s">
        <v>255</v>
      </c>
    </row>
    <row r="286" spans="1:6" ht="16" x14ac:dyDescent="0.2">
      <c r="A286" s="6" t="str">
        <f t="shared" si="9"/>
        <v>PRODUCT</v>
      </c>
      <c r="B286" s="106" t="s">
        <v>301</v>
      </c>
      <c r="C286" t="s">
        <v>831</v>
      </c>
      <c r="D286" t="s">
        <v>897</v>
      </c>
      <c r="F286" s="2" t="s">
        <v>255</v>
      </c>
    </row>
    <row r="287" spans="1:6" ht="16" x14ac:dyDescent="0.2">
      <c r="A287" s="6" t="str">
        <f t="shared" si="9"/>
        <v>PRODUCT</v>
      </c>
      <c r="B287" s="106" t="s">
        <v>301</v>
      </c>
      <c r="C287" t="s">
        <v>832</v>
      </c>
      <c r="D287" t="s">
        <v>898</v>
      </c>
      <c r="F287" s="2" t="s">
        <v>255</v>
      </c>
    </row>
    <row r="288" spans="1:6" ht="16" x14ac:dyDescent="0.2">
      <c r="A288" s="6" t="str">
        <f t="shared" si="9"/>
        <v>PRODUCT</v>
      </c>
      <c r="B288" s="106" t="s">
        <v>301</v>
      </c>
      <c r="C288" t="s">
        <v>833</v>
      </c>
      <c r="D288" t="s">
        <v>899</v>
      </c>
      <c r="F288" s="2" t="s">
        <v>255</v>
      </c>
    </row>
    <row r="289" spans="1:6" ht="16" x14ac:dyDescent="0.2">
      <c r="A289" s="6" t="str">
        <f t="shared" si="9"/>
        <v>PRODUCT</v>
      </c>
      <c r="B289" s="106" t="s">
        <v>301</v>
      </c>
      <c r="C289" t="s">
        <v>834</v>
      </c>
      <c r="D289" t="s">
        <v>900</v>
      </c>
      <c r="F289" s="2" t="s">
        <v>255</v>
      </c>
    </row>
    <row r="290" spans="1:6" ht="16" x14ac:dyDescent="0.2">
      <c r="A290" s="6" t="str">
        <f t="shared" si="9"/>
        <v>PRODUCT</v>
      </c>
      <c r="B290" s="106" t="s">
        <v>301</v>
      </c>
      <c r="C290" t="s">
        <v>835</v>
      </c>
      <c r="D290" t="s">
        <v>901</v>
      </c>
      <c r="F290" s="2" t="s">
        <v>255</v>
      </c>
    </row>
    <row r="291" spans="1:6" ht="16" x14ac:dyDescent="0.2">
      <c r="A291" s="6" t="str">
        <f t="shared" ref="A291:A322" si="10">IF(C291&lt;&gt;"","PRODUCT","")</f>
        <v>PRODUCT</v>
      </c>
      <c r="B291" s="106" t="s">
        <v>617</v>
      </c>
      <c r="C291" t="s">
        <v>377</v>
      </c>
      <c r="D291" t="s">
        <v>378</v>
      </c>
      <c r="F291" s="2" t="s">
        <v>255</v>
      </c>
    </row>
    <row r="292" spans="1:6" ht="16" x14ac:dyDescent="0.2">
      <c r="A292" s="6" t="str">
        <f t="shared" si="10"/>
        <v>PRODUCT</v>
      </c>
      <c r="B292" s="106" t="s">
        <v>617</v>
      </c>
      <c r="C292" t="s">
        <v>379</v>
      </c>
      <c r="D292" t="s">
        <v>380</v>
      </c>
      <c r="F292" s="2" t="s">
        <v>255</v>
      </c>
    </row>
    <row r="293" spans="1:6" ht="16" x14ac:dyDescent="0.2">
      <c r="A293" s="6" t="str">
        <f t="shared" si="10"/>
        <v>PRODUCT</v>
      </c>
      <c r="B293" s="106" t="s">
        <v>617</v>
      </c>
      <c r="C293" t="s">
        <v>768</v>
      </c>
      <c r="D293" t="s">
        <v>381</v>
      </c>
      <c r="F293" s="2" t="s">
        <v>255</v>
      </c>
    </row>
    <row r="294" spans="1:6" ht="16" x14ac:dyDescent="0.2">
      <c r="A294" s="6" t="str">
        <f t="shared" si="10"/>
        <v>PRODUCT</v>
      </c>
      <c r="B294" s="106" t="s">
        <v>617</v>
      </c>
      <c r="C294" t="s">
        <v>382</v>
      </c>
      <c r="D294" t="s">
        <v>383</v>
      </c>
      <c r="F294" s="2" t="s">
        <v>255</v>
      </c>
    </row>
    <row r="295" spans="1:6" ht="16" x14ac:dyDescent="0.2">
      <c r="A295" s="6" t="str">
        <f t="shared" si="10"/>
        <v>PRODUCT</v>
      </c>
      <c r="B295" s="106" t="s">
        <v>617</v>
      </c>
      <c r="C295" t="s">
        <v>384</v>
      </c>
      <c r="D295" t="s">
        <v>385</v>
      </c>
      <c r="F295" s="2" t="s">
        <v>255</v>
      </c>
    </row>
    <row r="296" spans="1:6" ht="16" x14ac:dyDescent="0.2">
      <c r="A296" s="6" t="str">
        <f t="shared" si="10"/>
        <v>PRODUCT</v>
      </c>
      <c r="B296" s="106" t="s">
        <v>617</v>
      </c>
      <c r="C296" t="s">
        <v>386</v>
      </c>
      <c r="D296" t="s">
        <v>387</v>
      </c>
      <c r="F296" s="2" t="s">
        <v>255</v>
      </c>
    </row>
    <row r="297" spans="1:6" ht="16" x14ac:dyDescent="0.2">
      <c r="A297" s="6" t="str">
        <f t="shared" si="10"/>
        <v>PRODUCT</v>
      </c>
      <c r="B297" s="106" t="s">
        <v>617</v>
      </c>
      <c r="C297" t="s">
        <v>388</v>
      </c>
      <c r="D297" t="s">
        <v>389</v>
      </c>
      <c r="F297" s="2" t="s">
        <v>255</v>
      </c>
    </row>
    <row r="298" spans="1:6" ht="16" x14ac:dyDescent="0.2">
      <c r="A298" s="6" t="str">
        <f t="shared" si="10"/>
        <v>PRODUCT</v>
      </c>
      <c r="B298" s="106" t="s">
        <v>617</v>
      </c>
      <c r="C298" t="s">
        <v>390</v>
      </c>
      <c r="D298" t="s">
        <v>391</v>
      </c>
      <c r="F298" s="2" t="s">
        <v>255</v>
      </c>
    </row>
    <row r="299" spans="1:6" ht="16" x14ac:dyDescent="0.2">
      <c r="A299" s="109" t="str">
        <f t="shared" si="10"/>
        <v>PRODUCT</v>
      </c>
      <c r="B299" s="106" t="s">
        <v>617</v>
      </c>
      <c r="C299" t="s">
        <v>770</v>
      </c>
      <c r="D299" t="s">
        <v>392</v>
      </c>
      <c r="F299" s="2" t="s">
        <v>255</v>
      </c>
    </row>
    <row r="300" spans="1:6" ht="16" x14ac:dyDescent="0.2">
      <c r="A300" s="109" t="str">
        <f t="shared" si="10"/>
        <v>PRODUCT</v>
      </c>
      <c r="B300" s="106" t="s">
        <v>617</v>
      </c>
      <c r="C300" t="s">
        <v>771</v>
      </c>
      <c r="D300" t="s">
        <v>393</v>
      </c>
      <c r="F300" s="2" t="s">
        <v>255</v>
      </c>
    </row>
    <row r="301" spans="1:6" ht="16" x14ac:dyDescent="0.2">
      <c r="A301" s="6" t="str">
        <f t="shared" si="10"/>
        <v>PRODUCT</v>
      </c>
      <c r="B301" s="106" t="s">
        <v>617</v>
      </c>
      <c r="C301" t="s">
        <v>394</v>
      </c>
      <c r="D301" t="s">
        <v>395</v>
      </c>
      <c r="F301" s="2" t="s">
        <v>255</v>
      </c>
    </row>
    <row r="302" spans="1:6" ht="16" x14ac:dyDescent="0.2">
      <c r="A302" s="6" t="str">
        <f t="shared" si="10"/>
        <v>PRODUCT</v>
      </c>
      <c r="B302" s="106" t="s">
        <v>617</v>
      </c>
      <c r="C302" t="s">
        <v>396</v>
      </c>
      <c r="D302" t="s">
        <v>397</v>
      </c>
      <c r="F302" s="2" t="s">
        <v>255</v>
      </c>
    </row>
    <row r="303" spans="1:6" ht="16" x14ac:dyDescent="0.2">
      <c r="A303" s="6" t="str">
        <f t="shared" si="10"/>
        <v>PRODUCT</v>
      </c>
      <c r="B303" s="106" t="s">
        <v>617</v>
      </c>
      <c r="C303" t="s">
        <v>398</v>
      </c>
      <c r="D303" t="s">
        <v>399</v>
      </c>
      <c r="F303" s="2" t="s">
        <v>255</v>
      </c>
    </row>
    <row r="304" spans="1:6" ht="16" x14ac:dyDescent="0.2">
      <c r="A304" s="6" t="str">
        <f t="shared" si="10"/>
        <v>PRODUCT</v>
      </c>
      <c r="B304" s="106" t="s">
        <v>617</v>
      </c>
      <c r="C304" t="s">
        <v>400</v>
      </c>
      <c r="D304" t="s">
        <v>401</v>
      </c>
      <c r="F304" s="2" t="s">
        <v>255</v>
      </c>
    </row>
    <row r="305" spans="1:6" ht="16" x14ac:dyDescent="0.2">
      <c r="A305" s="6" t="str">
        <f t="shared" si="10"/>
        <v>PRODUCT</v>
      </c>
      <c r="B305" s="106" t="s">
        <v>617</v>
      </c>
      <c r="C305" t="s">
        <v>402</v>
      </c>
      <c r="D305" t="s">
        <v>403</v>
      </c>
      <c r="F305" s="2" t="s">
        <v>255</v>
      </c>
    </row>
    <row r="306" spans="1:6" ht="16" x14ac:dyDescent="0.2">
      <c r="A306" s="6" t="str">
        <f t="shared" si="10"/>
        <v>PRODUCT</v>
      </c>
      <c r="B306" s="106" t="s">
        <v>617</v>
      </c>
      <c r="C306" t="s">
        <v>404</v>
      </c>
      <c r="D306" t="s">
        <v>405</v>
      </c>
      <c r="F306" s="2" t="s">
        <v>255</v>
      </c>
    </row>
    <row r="307" spans="1:6" ht="16" x14ac:dyDescent="0.2">
      <c r="A307" s="6" t="str">
        <f t="shared" si="10"/>
        <v>PRODUCT</v>
      </c>
      <c r="B307" s="106" t="s">
        <v>617</v>
      </c>
      <c r="C307" t="s">
        <v>406</v>
      </c>
      <c r="D307" t="s">
        <v>407</v>
      </c>
      <c r="F307" s="2" t="s">
        <v>255</v>
      </c>
    </row>
    <row r="308" spans="1:6" ht="16" x14ac:dyDescent="0.2">
      <c r="A308" s="6" t="str">
        <f t="shared" si="10"/>
        <v>PRODUCT</v>
      </c>
      <c r="B308" s="106" t="s">
        <v>617</v>
      </c>
      <c r="C308" t="s">
        <v>408</v>
      </c>
      <c r="D308" t="s">
        <v>409</v>
      </c>
      <c r="F308" s="2" t="s">
        <v>255</v>
      </c>
    </row>
    <row r="309" spans="1:6" ht="16" x14ac:dyDescent="0.2">
      <c r="A309" s="6" t="str">
        <f t="shared" si="10"/>
        <v>PRODUCT</v>
      </c>
      <c r="B309" s="106" t="s">
        <v>617</v>
      </c>
      <c r="C309" t="s">
        <v>410</v>
      </c>
      <c r="D309" t="s">
        <v>411</v>
      </c>
      <c r="F309" s="2" t="s">
        <v>255</v>
      </c>
    </row>
    <row r="310" spans="1:6" ht="16" x14ac:dyDescent="0.2">
      <c r="A310" s="6" t="str">
        <f t="shared" si="10"/>
        <v>PRODUCT</v>
      </c>
      <c r="B310" s="106" t="s">
        <v>617</v>
      </c>
      <c r="C310" t="s">
        <v>412</v>
      </c>
      <c r="D310" t="s">
        <v>413</v>
      </c>
      <c r="F310" s="2" t="s">
        <v>255</v>
      </c>
    </row>
    <row r="311" spans="1:6" ht="16" x14ac:dyDescent="0.2">
      <c r="A311" s="6" t="str">
        <f t="shared" si="10"/>
        <v>PRODUCT</v>
      </c>
      <c r="B311" s="106" t="s">
        <v>617</v>
      </c>
      <c r="C311" t="s">
        <v>414</v>
      </c>
      <c r="D311" t="s">
        <v>415</v>
      </c>
      <c r="F311" s="2" t="s">
        <v>255</v>
      </c>
    </row>
    <row r="312" spans="1:6" ht="16" x14ac:dyDescent="0.2">
      <c r="A312" s="6" t="str">
        <f t="shared" si="10"/>
        <v>PRODUCT</v>
      </c>
      <c r="B312" s="106" t="s">
        <v>617</v>
      </c>
      <c r="C312" t="s">
        <v>416</v>
      </c>
      <c r="D312" t="s">
        <v>417</v>
      </c>
      <c r="F312" s="2" t="s">
        <v>255</v>
      </c>
    </row>
    <row r="313" spans="1:6" ht="16" x14ac:dyDescent="0.2">
      <c r="A313" s="6" t="str">
        <f t="shared" si="10"/>
        <v>PRODUCT</v>
      </c>
      <c r="B313" s="106" t="s">
        <v>617</v>
      </c>
      <c r="C313" t="s">
        <v>418</v>
      </c>
      <c r="D313" t="s">
        <v>419</v>
      </c>
      <c r="F313" s="2" t="s">
        <v>255</v>
      </c>
    </row>
    <row r="314" spans="1:6" ht="16" x14ac:dyDescent="0.2">
      <c r="A314" s="6" t="str">
        <f t="shared" si="10"/>
        <v>PRODUCT</v>
      </c>
      <c r="B314" s="106" t="s">
        <v>617</v>
      </c>
      <c r="C314" t="s">
        <v>420</v>
      </c>
      <c r="D314" t="s">
        <v>421</v>
      </c>
      <c r="F314" s="2" t="s">
        <v>255</v>
      </c>
    </row>
    <row r="315" spans="1:6" ht="16" x14ac:dyDescent="0.2">
      <c r="A315" s="6" t="str">
        <f t="shared" si="10"/>
        <v>PRODUCT</v>
      </c>
      <c r="B315" s="106" t="s">
        <v>617</v>
      </c>
      <c r="C315" t="s">
        <v>422</v>
      </c>
      <c r="D315" t="s">
        <v>423</v>
      </c>
      <c r="F315" s="2" t="s">
        <v>255</v>
      </c>
    </row>
    <row r="316" spans="1:6" ht="16" x14ac:dyDescent="0.2">
      <c r="A316" s="6" t="str">
        <f t="shared" si="10"/>
        <v>PRODUCT</v>
      </c>
      <c r="B316" s="106" t="s">
        <v>617</v>
      </c>
      <c r="C316" t="s">
        <v>424</v>
      </c>
      <c r="D316" t="s">
        <v>425</v>
      </c>
      <c r="F316" s="2" t="s">
        <v>255</v>
      </c>
    </row>
    <row r="317" spans="1:6" ht="16" x14ac:dyDescent="0.2">
      <c r="A317" s="6" t="str">
        <f t="shared" si="10"/>
        <v>PRODUCT</v>
      </c>
      <c r="B317" s="106" t="s">
        <v>617</v>
      </c>
      <c r="C317" t="s">
        <v>426</v>
      </c>
      <c r="D317" t="s">
        <v>427</v>
      </c>
      <c r="F317" s="2" t="s">
        <v>255</v>
      </c>
    </row>
    <row r="318" spans="1:6" ht="16" x14ac:dyDescent="0.2">
      <c r="A318" s="6" t="str">
        <f t="shared" si="10"/>
        <v>PRODUCT</v>
      </c>
      <c r="B318" s="106" t="s">
        <v>617</v>
      </c>
      <c r="C318" t="s">
        <v>428</v>
      </c>
      <c r="D318" t="s">
        <v>429</v>
      </c>
      <c r="F318" s="2" t="s">
        <v>255</v>
      </c>
    </row>
    <row r="319" spans="1:6" ht="16" x14ac:dyDescent="0.2">
      <c r="A319" s="6" t="str">
        <f t="shared" si="10"/>
        <v>PRODUCT</v>
      </c>
      <c r="B319" s="106" t="s">
        <v>617</v>
      </c>
      <c r="C319" t="s">
        <v>430</v>
      </c>
      <c r="D319" t="s">
        <v>431</v>
      </c>
      <c r="F319" s="2" t="s">
        <v>255</v>
      </c>
    </row>
    <row r="320" spans="1:6" ht="16" x14ac:dyDescent="0.2">
      <c r="A320" s="6" t="str">
        <f t="shared" si="10"/>
        <v>PRODUCT</v>
      </c>
      <c r="B320" s="106" t="s">
        <v>617</v>
      </c>
      <c r="C320" t="s">
        <v>432</v>
      </c>
      <c r="D320" t="s">
        <v>433</v>
      </c>
      <c r="F320" s="2" t="s">
        <v>255</v>
      </c>
    </row>
    <row r="321" spans="1:6" ht="16" x14ac:dyDescent="0.2">
      <c r="A321" s="6" t="str">
        <f t="shared" si="10"/>
        <v>PRODUCT</v>
      </c>
      <c r="B321" s="106" t="s">
        <v>617</v>
      </c>
      <c r="C321" t="s">
        <v>772</v>
      </c>
      <c r="D321" t="s">
        <v>434</v>
      </c>
      <c r="F321" s="2" t="s">
        <v>255</v>
      </c>
    </row>
    <row r="322" spans="1:6" ht="16" x14ac:dyDescent="0.2">
      <c r="A322" s="6" t="str">
        <f t="shared" si="10"/>
        <v>PRODUCT</v>
      </c>
      <c r="B322" s="106" t="s">
        <v>617</v>
      </c>
      <c r="C322" t="s">
        <v>435</v>
      </c>
      <c r="D322" t="s">
        <v>436</v>
      </c>
      <c r="F322" s="2" t="s">
        <v>255</v>
      </c>
    </row>
    <row r="323" spans="1:6" ht="16" x14ac:dyDescent="0.2">
      <c r="A323" s="6" t="str">
        <f t="shared" ref="A323:A353" si="11">IF(C323&lt;&gt;"","PRODUCT","")</f>
        <v>PRODUCT</v>
      </c>
      <c r="B323" s="106" t="s">
        <v>617</v>
      </c>
      <c r="C323" t="s">
        <v>612</v>
      </c>
      <c r="D323" t="s">
        <v>613</v>
      </c>
      <c r="F323" s="2" t="s">
        <v>255</v>
      </c>
    </row>
    <row r="324" spans="1:6" ht="16" x14ac:dyDescent="0.2">
      <c r="A324" s="6" t="str">
        <f t="shared" si="11"/>
        <v>PRODUCT</v>
      </c>
      <c r="B324" s="106" t="s">
        <v>617</v>
      </c>
      <c r="C324" t="s">
        <v>437</v>
      </c>
      <c r="D324" t="s">
        <v>614</v>
      </c>
      <c r="F324" s="2" t="s">
        <v>255</v>
      </c>
    </row>
    <row r="325" spans="1:6" ht="16" x14ac:dyDescent="0.2">
      <c r="A325" s="6" t="str">
        <f t="shared" si="11"/>
        <v>PRODUCT</v>
      </c>
      <c r="B325" s="106" t="s">
        <v>617</v>
      </c>
      <c r="C325" t="s">
        <v>438</v>
      </c>
      <c r="D325" t="s">
        <v>615</v>
      </c>
      <c r="F325" s="2" t="s">
        <v>255</v>
      </c>
    </row>
    <row r="326" spans="1:6" ht="16" x14ac:dyDescent="0.2">
      <c r="A326" s="6" t="str">
        <f t="shared" si="11"/>
        <v>PRODUCT</v>
      </c>
      <c r="B326" s="106" t="s">
        <v>617</v>
      </c>
      <c r="C326" t="s">
        <v>439</v>
      </c>
      <c r="D326" t="s">
        <v>440</v>
      </c>
      <c r="F326" s="2" t="s">
        <v>255</v>
      </c>
    </row>
    <row r="327" spans="1:6" ht="16" x14ac:dyDescent="0.2">
      <c r="A327" s="6" t="str">
        <f t="shared" si="11"/>
        <v>PRODUCT</v>
      </c>
      <c r="B327" s="106" t="s">
        <v>617</v>
      </c>
      <c r="C327" t="s">
        <v>441</v>
      </c>
      <c r="D327" t="s">
        <v>442</v>
      </c>
      <c r="F327" s="2" t="s">
        <v>255</v>
      </c>
    </row>
    <row r="328" spans="1:6" ht="16" x14ac:dyDescent="0.2">
      <c r="A328" s="6" t="str">
        <f t="shared" si="11"/>
        <v>PRODUCT</v>
      </c>
      <c r="B328" s="106" t="s">
        <v>617</v>
      </c>
      <c r="C328" t="s">
        <v>443</v>
      </c>
      <c r="D328" t="s">
        <v>444</v>
      </c>
      <c r="F328" s="2" t="s">
        <v>255</v>
      </c>
    </row>
    <row r="329" spans="1:6" ht="16" x14ac:dyDescent="0.2">
      <c r="A329" s="6" t="str">
        <f t="shared" si="11"/>
        <v>PRODUCT</v>
      </c>
      <c r="B329" s="106" t="s">
        <v>617</v>
      </c>
      <c r="C329" t="s">
        <v>445</v>
      </c>
      <c r="D329" t="s">
        <v>446</v>
      </c>
      <c r="F329" s="2" t="s">
        <v>255</v>
      </c>
    </row>
    <row r="330" spans="1:6" ht="16" x14ac:dyDescent="0.2">
      <c r="A330" s="6" t="str">
        <f t="shared" si="11"/>
        <v>PRODUCT</v>
      </c>
      <c r="B330" s="106" t="s">
        <v>617</v>
      </c>
      <c r="C330" t="s">
        <v>447</v>
      </c>
      <c r="D330" t="s">
        <v>448</v>
      </c>
      <c r="F330" s="2" t="s">
        <v>255</v>
      </c>
    </row>
    <row r="331" spans="1:6" ht="16" x14ac:dyDescent="0.2">
      <c r="A331" s="6" t="str">
        <f t="shared" si="11"/>
        <v>PRODUCT</v>
      </c>
      <c r="B331" s="106" t="s">
        <v>617</v>
      </c>
      <c r="C331" t="s">
        <v>449</v>
      </c>
      <c r="D331" t="s">
        <v>450</v>
      </c>
      <c r="F331" s="2" t="s">
        <v>255</v>
      </c>
    </row>
    <row r="332" spans="1:6" ht="16" x14ac:dyDescent="0.2">
      <c r="A332" s="6" t="str">
        <f t="shared" si="11"/>
        <v>PRODUCT</v>
      </c>
      <c r="B332" s="106" t="s">
        <v>617</v>
      </c>
      <c r="C332" t="s">
        <v>451</v>
      </c>
      <c r="D332" t="s">
        <v>452</v>
      </c>
      <c r="F332" s="2" t="s">
        <v>255</v>
      </c>
    </row>
    <row r="333" spans="1:6" ht="16" x14ac:dyDescent="0.2">
      <c r="A333" s="6" t="str">
        <f t="shared" si="11"/>
        <v>PRODUCT</v>
      </c>
      <c r="B333" s="106" t="s">
        <v>617</v>
      </c>
      <c r="C333" t="s">
        <v>453</v>
      </c>
      <c r="D333" t="s">
        <v>454</v>
      </c>
      <c r="F333" s="2" t="s">
        <v>255</v>
      </c>
    </row>
    <row r="334" spans="1:6" ht="16" x14ac:dyDescent="0.2">
      <c r="A334" s="6" t="str">
        <f t="shared" si="11"/>
        <v>PRODUCT</v>
      </c>
      <c r="B334" s="106" t="s">
        <v>617</v>
      </c>
      <c r="C334" t="s">
        <v>455</v>
      </c>
      <c r="D334" t="s">
        <v>456</v>
      </c>
      <c r="F334" s="2" t="s">
        <v>255</v>
      </c>
    </row>
    <row r="335" spans="1:6" ht="16" x14ac:dyDescent="0.2">
      <c r="A335" s="6" t="str">
        <f t="shared" si="11"/>
        <v>PRODUCT</v>
      </c>
      <c r="B335" s="106" t="s">
        <v>617</v>
      </c>
      <c r="C335" t="s">
        <v>457</v>
      </c>
      <c r="D335" t="s">
        <v>458</v>
      </c>
      <c r="F335" s="2" t="s">
        <v>255</v>
      </c>
    </row>
    <row r="336" spans="1:6" ht="16" x14ac:dyDescent="0.2">
      <c r="A336" s="6" t="str">
        <f t="shared" si="11"/>
        <v>PRODUCT</v>
      </c>
      <c r="B336" s="106" t="s">
        <v>617</v>
      </c>
      <c r="C336" t="s">
        <v>459</v>
      </c>
      <c r="D336" t="s">
        <v>460</v>
      </c>
      <c r="F336" s="2" t="s">
        <v>255</v>
      </c>
    </row>
    <row r="337" spans="1:6" ht="16" x14ac:dyDescent="0.2">
      <c r="A337" s="6" t="str">
        <f t="shared" si="11"/>
        <v>PRODUCT</v>
      </c>
      <c r="B337" s="106" t="s">
        <v>617</v>
      </c>
      <c r="C337" t="s">
        <v>461</v>
      </c>
      <c r="D337" t="s">
        <v>462</v>
      </c>
      <c r="F337" s="2" t="s">
        <v>255</v>
      </c>
    </row>
    <row r="338" spans="1:6" ht="16" x14ac:dyDescent="0.2">
      <c r="A338" s="6" t="str">
        <f t="shared" si="11"/>
        <v>PRODUCT</v>
      </c>
      <c r="B338" s="106" t="s">
        <v>617</v>
      </c>
      <c r="C338" t="s">
        <v>463</v>
      </c>
      <c r="D338" t="s">
        <v>464</v>
      </c>
      <c r="F338" s="2" t="s">
        <v>255</v>
      </c>
    </row>
    <row r="339" spans="1:6" ht="16" x14ac:dyDescent="0.2">
      <c r="A339" s="6" t="str">
        <f t="shared" si="11"/>
        <v>PRODUCT</v>
      </c>
      <c r="B339" s="106" t="s">
        <v>617</v>
      </c>
      <c r="C339" t="s">
        <v>465</v>
      </c>
      <c r="D339" t="s">
        <v>466</v>
      </c>
      <c r="F339" s="2" t="s">
        <v>255</v>
      </c>
    </row>
    <row r="340" spans="1:6" ht="16" x14ac:dyDescent="0.2">
      <c r="A340" s="6" t="str">
        <f t="shared" si="11"/>
        <v>PRODUCT</v>
      </c>
      <c r="B340" s="106" t="s">
        <v>617</v>
      </c>
      <c r="C340" t="s">
        <v>467</v>
      </c>
      <c r="D340" t="s">
        <v>468</v>
      </c>
      <c r="F340" s="2" t="s">
        <v>255</v>
      </c>
    </row>
    <row r="341" spans="1:6" ht="16" x14ac:dyDescent="0.2">
      <c r="A341" s="6" t="str">
        <f t="shared" si="11"/>
        <v>PRODUCT</v>
      </c>
      <c r="B341" s="106" t="s">
        <v>617</v>
      </c>
      <c r="C341" t="s">
        <v>469</v>
      </c>
      <c r="D341" t="s">
        <v>470</v>
      </c>
      <c r="F341" s="2" t="s">
        <v>255</v>
      </c>
    </row>
    <row r="342" spans="1:6" ht="16" x14ac:dyDescent="0.2">
      <c r="A342" s="6" t="str">
        <f t="shared" si="11"/>
        <v>PRODUCT</v>
      </c>
      <c r="B342" s="106" t="s">
        <v>617</v>
      </c>
      <c r="C342" t="s">
        <v>471</v>
      </c>
      <c r="D342" t="s">
        <v>472</v>
      </c>
      <c r="F342" s="2" t="s">
        <v>255</v>
      </c>
    </row>
    <row r="343" spans="1:6" ht="16" x14ac:dyDescent="0.2">
      <c r="A343" s="6" t="str">
        <f t="shared" si="11"/>
        <v>PRODUCT</v>
      </c>
      <c r="B343" s="106" t="s">
        <v>617</v>
      </c>
      <c r="C343" t="s">
        <v>473</v>
      </c>
      <c r="D343" t="s">
        <v>474</v>
      </c>
      <c r="F343" s="2" t="s">
        <v>255</v>
      </c>
    </row>
    <row r="344" spans="1:6" ht="16" x14ac:dyDescent="0.2">
      <c r="A344" s="6" t="str">
        <f t="shared" si="11"/>
        <v>PRODUCT</v>
      </c>
      <c r="B344" s="106" t="s">
        <v>617</v>
      </c>
      <c r="C344" t="s">
        <v>475</v>
      </c>
      <c r="D344" t="s">
        <v>476</v>
      </c>
      <c r="F344" s="2" t="s">
        <v>255</v>
      </c>
    </row>
    <row r="345" spans="1:6" ht="16" x14ac:dyDescent="0.2">
      <c r="A345" s="6" t="str">
        <f t="shared" si="11"/>
        <v>PRODUCT</v>
      </c>
      <c r="B345" s="106" t="s">
        <v>617</v>
      </c>
      <c r="C345" t="s">
        <v>521</v>
      </c>
      <c r="D345" t="s">
        <v>522</v>
      </c>
      <c r="F345" s="2" t="s">
        <v>255</v>
      </c>
    </row>
    <row r="346" spans="1:6" ht="16" x14ac:dyDescent="0.2">
      <c r="A346" s="6" t="str">
        <f t="shared" si="11"/>
        <v>PRODUCT</v>
      </c>
      <c r="B346" s="106" t="s">
        <v>617</v>
      </c>
      <c r="C346" t="s">
        <v>523</v>
      </c>
      <c r="D346" t="s">
        <v>524</v>
      </c>
      <c r="F346" s="2" t="s">
        <v>255</v>
      </c>
    </row>
    <row r="347" spans="1:6" ht="16" x14ac:dyDescent="0.2">
      <c r="A347" s="6" t="str">
        <f t="shared" si="11"/>
        <v>PRODUCT</v>
      </c>
      <c r="B347" s="106" t="s">
        <v>617</v>
      </c>
      <c r="C347" t="s">
        <v>525</v>
      </c>
      <c r="D347" t="s">
        <v>526</v>
      </c>
      <c r="F347" s="2" t="s">
        <v>255</v>
      </c>
    </row>
    <row r="348" spans="1:6" ht="16" x14ac:dyDescent="0.2">
      <c r="A348" s="6" t="str">
        <f t="shared" si="11"/>
        <v>PRODUCT</v>
      </c>
      <c r="B348" s="106" t="s">
        <v>617</v>
      </c>
      <c r="C348" t="s">
        <v>527</v>
      </c>
      <c r="D348" t="s">
        <v>528</v>
      </c>
      <c r="F348" s="2" t="s">
        <v>255</v>
      </c>
    </row>
    <row r="349" spans="1:6" ht="16" x14ac:dyDescent="0.2">
      <c r="A349" s="6" t="str">
        <f t="shared" si="11"/>
        <v>PRODUCT</v>
      </c>
      <c r="B349" s="106" t="s">
        <v>617</v>
      </c>
      <c r="C349" t="s">
        <v>529</v>
      </c>
      <c r="D349" t="s">
        <v>530</v>
      </c>
      <c r="F349" s="2" t="s">
        <v>255</v>
      </c>
    </row>
    <row r="350" spans="1:6" ht="16" x14ac:dyDescent="0.2">
      <c r="A350" s="6" t="str">
        <f t="shared" si="11"/>
        <v>PRODUCT</v>
      </c>
      <c r="B350" s="106" t="s">
        <v>617</v>
      </c>
      <c r="C350" t="s">
        <v>531</v>
      </c>
      <c r="D350" t="s">
        <v>532</v>
      </c>
      <c r="F350" s="2" t="s">
        <v>255</v>
      </c>
    </row>
    <row r="351" spans="1:6" ht="16" x14ac:dyDescent="0.2">
      <c r="A351" s="6" t="str">
        <f t="shared" si="11"/>
        <v>PRODUCT</v>
      </c>
      <c r="B351" s="106" t="s">
        <v>617</v>
      </c>
      <c r="C351" t="s">
        <v>533</v>
      </c>
      <c r="D351" t="s">
        <v>534</v>
      </c>
      <c r="F351" s="2" t="s">
        <v>255</v>
      </c>
    </row>
    <row r="352" spans="1:6" ht="16" x14ac:dyDescent="0.2">
      <c r="A352" s="6" t="str">
        <f t="shared" si="11"/>
        <v>PRODUCT</v>
      </c>
      <c r="B352" s="106" t="s">
        <v>617</v>
      </c>
      <c r="C352" t="s">
        <v>535</v>
      </c>
      <c r="D352" t="s">
        <v>536</v>
      </c>
      <c r="F352" s="2" t="s">
        <v>255</v>
      </c>
    </row>
    <row r="353" spans="1:6" ht="16" x14ac:dyDescent="0.2">
      <c r="A353" s="6" t="str">
        <f t="shared" si="11"/>
        <v>PRODUCT</v>
      </c>
      <c r="B353" s="106" t="s">
        <v>617</v>
      </c>
      <c r="C353" t="s">
        <v>537</v>
      </c>
      <c r="D353" t="s">
        <v>538</v>
      </c>
      <c r="F353" s="2" t="s">
        <v>255</v>
      </c>
    </row>
    <row r="354" spans="1:6" ht="16" x14ac:dyDescent="0.2">
      <c r="A354" s="6" t="str">
        <f>IF(C351&lt;&gt;"","PRODUCT","")</f>
        <v>PRODUCT</v>
      </c>
      <c r="B354" s="106" t="s">
        <v>617</v>
      </c>
      <c r="C354" t="s">
        <v>618</v>
      </c>
      <c r="D354" t="s">
        <v>576</v>
      </c>
      <c r="F354" s="2" t="s">
        <v>255</v>
      </c>
    </row>
    <row r="355" spans="1:6" ht="16" x14ac:dyDescent="0.2">
      <c r="A355" s="6" t="str">
        <f>IF(C352&lt;&gt;"","PRODUCT","")</f>
        <v>PRODUCT</v>
      </c>
      <c r="B355" s="106" t="s">
        <v>617</v>
      </c>
      <c r="C355" t="s">
        <v>577</v>
      </c>
      <c r="D355" t="s">
        <v>578</v>
      </c>
      <c r="F355" s="2" t="s">
        <v>255</v>
      </c>
    </row>
    <row r="356" spans="1:6" ht="16" x14ac:dyDescent="0.2">
      <c r="A356" s="6" t="str">
        <f t="shared" ref="A356:A369" si="12">IF(C354&lt;&gt;"","PRODUCT","")</f>
        <v>PRODUCT</v>
      </c>
      <c r="B356" s="106" t="s">
        <v>617</v>
      </c>
      <c r="C356" t="s">
        <v>579</v>
      </c>
      <c r="D356" t="s">
        <v>580</v>
      </c>
      <c r="F356" s="2" t="s">
        <v>255</v>
      </c>
    </row>
    <row r="357" spans="1:6" ht="16" x14ac:dyDescent="0.2">
      <c r="A357" s="6" t="str">
        <f t="shared" si="12"/>
        <v>PRODUCT</v>
      </c>
      <c r="B357" s="106" t="s">
        <v>617</v>
      </c>
      <c r="C357" t="s">
        <v>581</v>
      </c>
      <c r="D357" t="s">
        <v>582</v>
      </c>
      <c r="F357" s="2" t="s">
        <v>255</v>
      </c>
    </row>
    <row r="358" spans="1:6" ht="16" x14ac:dyDescent="0.2">
      <c r="A358" s="6" t="str">
        <f t="shared" si="12"/>
        <v>PRODUCT</v>
      </c>
      <c r="B358" s="106" t="s">
        <v>617</v>
      </c>
      <c r="C358" t="s">
        <v>583</v>
      </c>
      <c r="D358" t="s">
        <v>584</v>
      </c>
      <c r="F358" s="2" t="s">
        <v>255</v>
      </c>
    </row>
    <row r="359" spans="1:6" ht="16" x14ac:dyDescent="0.2">
      <c r="A359" s="6" t="str">
        <f t="shared" si="12"/>
        <v>PRODUCT</v>
      </c>
      <c r="B359" s="106" t="s">
        <v>617</v>
      </c>
      <c r="C359" t="s">
        <v>585</v>
      </c>
      <c r="D359" t="s">
        <v>586</v>
      </c>
      <c r="F359" s="2" t="s">
        <v>255</v>
      </c>
    </row>
    <row r="360" spans="1:6" ht="16" x14ac:dyDescent="0.2">
      <c r="A360" s="6" t="str">
        <f t="shared" si="12"/>
        <v>PRODUCT</v>
      </c>
      <c r="B360" s="106" t="s">
        <v>617</v>
      </c>
      <c r="C360" t="s">
        <v>587</v>
      </c>
      <c r="D360" t="s">
        <v>588</v>
      </c>
      <c r="F360" s="2" t="s">
        <v>255</v>
      </c>
    </row>
    <row r="361" spans="1:6" ht="16" x14ac:dyDescent="0.2">
      <c r="A361" s="6" t="str">
        <f t="shared" si="12"/>
        <v>PRODUCT</v>
      </c>
      <c r="B361" s="106" t="s">
        <v>617</v>
      </c>
      <c r="C361" t="s">
        <v>589</v>
      </c>
      <c r="D361" t="s">
        <v>590</v>
      </c>
      <c r="F361" s="2" t="s">
        <v>255</v>
      </c>
    </row>
    <row r="362" spans="1:6" ht="16" x14ac:dyDescent="0.2">
      <c r="A362" s="6" t="str">
        <f t="shared" si="12"/>
        <v>PRODUCT</v>
      </c>
      <c r="B362" s="106" t="s">
        <v>617</v>
      </c>
      <c r="C362" t="s">
        <v>591</v>
      </c>
      <c r="D362" t="s">
        <v>592</v>
      </c>
      <c r="F362" s="2" t="s">
        <v>255</v>
      </c>
    </row>
    <row r="363" spans="1:6" ht="16" x14ac:dyDescent="0.2">
      <c r="A363" s="6" t="str">
        <f t="shared" si="12"/>
        <v>PRODUCT</v>
      </c>
      <c r="B363" s="106" t="s">
        <v>617</v>
      </c>
      <c r="C363" t="s">
        <v>593</v>
      </c>
      <c r="D363" t="s">
        <v>594</v>
      </c>
      <c r="F363" s="2" t="s">
        <v>255</v>
      </c>
    </row>
    <row r="364" spans="1:6" ht="16" x14ac:dyDescent="0.2">
      <c r="A364" s="6" t="str">
        <f t="shared" si="12"/>
        <v>PRODUCT</v>
      </c>
      <c r="B364" s="106" t="s">
        <v>617</v>
      </c>
      <c r="C364" t="s">
        <v>595</v>
      </c>
      <c r="D364" t="s">
        <v>596</v>
      </c>
      <c r="F364" s="2" t="s">
        <v>255</v>
      </c>
    </row>
    <row r="365" spans="1:6" ht="16" x14ac:dyDescent="0.2">
      <c r="A365" s="6" t="str">
        <f t="shared" si="12"/>
        <v>PRODUCT</v>
      </c>
      <c r="B365" s="106" t="s">
        <v>617</v>
      </c>
      <c r="C365" t="s">
        <v>597</v>
      </c>
      <c r="D365" t="s">
        <v>598</v>
      </c>
      <c r="F365" s="2" t="s">
        <v>255</v>
      </c>
    </row>
    <row r="366" spans="1:6" ht="16" x14ac:dyDescent="0.2">
      <c r="A366" s="6" t="str">
        <f t="shared" si="12"/>
        <v>PRODUCT</v>
      </c>
      <c r="B366" s="106" t="s">
        <v>617</v>
      </c>
      <c r="C366" t="s">
        <v>599</v>
      </c>
      <c r="D366" t="s">
        <v>600</v>
      </c>
      <c r="F366" s="2" t="s">
        <v>255</v>
      </c>
    </row>
    <row r="367" spans="1:6" ht="16" x14ac:dyDescent="0.2">
      <c r="A367" s="6" t="str">
        <f t="shared" si="12"/>
        <v>PRODUCT</v>
      </c>
      <c r="B367" s="106" t="s">
        <v>617</v>
      </c>
      <c r="C367" t="s">
        <v>601</v>
      </c>
      <c r="D367" t="s">
        <v>602</v>
      </c>
      <c r="F367" s="2" t="s">
        <v>255</v>
      </c>
    </row>
    <row r="368" spans="1:6" ht="16" x14ac:dyDescent="0.2">
      <c r="A368" s="6" t="str">
        <f t="shared" si="12"/>
        <v>PRODUCT</v>
      </c>
      <c r="B368" s="106" t="s">
        <v>617</v>
      </c>
      <c r="C368" t="s">
        <v>603</v>
      </c>
      <c r="D368" t="s">
        <v>604</v>
      </c>
      <c r="F368" s="2" t="s">
        <v>255</v>
      </c>
    </row>
    <row r="369" spans="1:6" ht="16" x14ac:dyDescent="0.2">
      <c r="A369" s="6" t="str">
        <f t="shared" si="12"/>
        <v>PRODUCT</v>
      </c>
      <c r="B369" s="106" t="s">
        <v>617</v>
      </c>
      <c r="C369" t="s">
        <v>603</v>
      </c>
      <c r="D369" t="s">
        <v>604</v>
      </c>
      <c r="F369" s="2" t="s">
        <v>255</v>
      </c>
    </row>
    <row r="370" spans="1:6" ht="16" x14ac:dyDescent="0.2">
      <c r="A370" s="6" t="str">
        <f t="shared" ref="A370:A401" si="13">IF(C370&lt;&gt;"","PRODUCT","")</f>
        <v>PRODUCT</v>
      </c>
      <c r="B370" s="106" t="s">
        <v>619</v>
      </c>
      <c r="C370" t="s">
        <v>620</v>
      </c>
      <c r="D370" t="s">
        <v>305</v>
      </c>
      <c r="F370" s="2" t="s">
        <v>255</v>
      </c>
    </row>
    <row r="371" spans="1:6" ht="16" x14ac:dyDescent="0.2">
      <c r="A371" s="6" t="str">
        <f t="shared" si="13"/>
        <v>PRODUCT</v>
      </c>
      <c r="B371" s="106" t="s">
        <v>619</v>
      </c>
      <c r="C371" t="s">
        <v>622</v>
      </c>
      <c r="D371" t="s">
        <v>306</v>
      </c>
      <c r="F371" s="2" t="s">
        <v>255</v>
      </c>
    </row>
    <row r="372" spans="1:6" ht="16" x14ac:dyDescent="0.2">
      <c r="A372" s="6" t="str">
        <f t="shared" si="13"/>
        <v>PRODUCT</v>
      </c>
      <c r="B372" s="106" t="s">
        <v>619</v>
      </c>
      <c r="C372" t="s">
        <v>616</v>
      </c>
      <c r="D372" t="s">
        <v>307</v>
      </c>
      <c r="F372" s="2" t="s">
        <v>255</v>
      </c>
    </row>
    <row r="373" spans="1:6" ht="16" x14ac:dyDescent="0.2">
      <c r="A373" s="6" t="str">
        <f t="shared" si="13"/>
        <v>PRODUCT</v>
      </c>
      <c r="B373" s="106" t="s">
        <v>619</v>
      </c>
      <c r="C373" t="s">
        <v>621</v>
      </c>
      <c r="D373" t="s">
        <v>308</v>
      </c>
      <c r="F373" s="2" t="s">
        <v>255</v>
      </c>
    </row>
    <row r="374" spans="1:6" ht="16" x14ac:dyDescent="0.2">
      <c r="A374" s="6" t="str">
        <f t="shared" si="13"/>
        <v>PRODUCT</v>
      </c>
      <c r="B374" s="106" t="s">
        <v>619</v>
      </c>
      <c r="C374" t="s">
        <v>309</v>
      </c>
      <c r="D374" t="s">
        <v>310</v>
      </c>
      <c r="F374" s="2" t="s">
        <v>255</v>
      </c>
    </row>
    <row r="375" spans="1:6" ht="16" x14ac:dyDescent="0.2">
      <c r="A375" s="6" t="str">
        <f t="shared" si="13"/>
        <v>PRODUCT</v>
      </c>
      <c r="B375" s="106" t="s">
        <v>619</v>
      </c>
      <c r="C375" t="s">
        <v>311</v>
      </c>
      <c r="D375" t="s">
        <v>312</v>
      </c>
      <c r="F375" s="2" t="s">
        <v>255</v>
      </c>
    </row>
    <row r="376" spans="1:6" ht="16" x14ac:dyDescent="0.2">
      <c r="A376" s="6" t="str">
        <f t="shared" si="13"/>
        <v>PRODUCT</v>
      </c>
      <c r="B376" s="106" t="s">
        <v>619</v>
      </c>
      <c r="C376" t="s">
        <v>313</v>
      </c>
      <c r="D376" t="s">
        <v>314</v>
      </c>
      <c r="F376" s="2" t="s">
        <v>255</v>
      </c>
    </row>
    <row r="377" spans="1:6" ht="16" x14ac:dyDescent="0.2">
      <c r="A377" s="6" t="str">
        <f t="shared" si="13"/>
        <v>PRODUCT</v>
      </c>
      <c r="B377" s="106" t="s">
        <v>619</v>
      </c>
      <c r="C377" t="s">
        <v>315</v>
      </c>
      <c r="D377" t="s">
        <v>316</v>
      </c>
      <c r="F377" s="2" t="s">
        <v>255</v>
      </c>
    </row>
    <row r="378" spans="1:6" ht="16" x14ac:dyDescent="0.2">
      <c r="A378" s="6" t="str">
        <f t="shared" si="13"/>
        <v>PRODUCT</v>
      </c>
      <c r="B378" s="106" t="s">
        <v>619</v>
      </c>
      <c r="C378" t="s">
        <v>317</v>
      </c>
      <c r="D378" t="s">
        <v>318</v>
      </c>
      <c r="F378" s="2" t="s">
        <v>255</v>
      </c>
    </row>
    <row r="379" spans="1:6" ht="16" x14ac:dyDescent="0.2">
      <c r="A379" s="6" t="str">
        <f t="shared" si="13"/>
        <v>PRODUCT</v>
      </c>
      <c r="B379" s="106" t="s">
        <v>619</v>
      </c>
      <c r="C379" t="s">
        <v>319</v>
      </c>
      <c r="D379" t="s">
        <v>320</v>
      </c>
      <c r="F379" s="2" t="s">
        <v>255</v>
      </c>
    </row>
    <row r="380" spans="1:6" ht="16" x14ac:dyDescent="0.2">
      <c r="A380" s="6" t="str">
        <f t="shared" si="13"/>
        <v>PRODUCT</v>
      </c>
      <c r="B380" s="106" t="s">
        <v>619</v>
      </c>
      <c r="C380" t="s">
        <v>321</v>
      </c>
      <c r="D380" t="s">
        <v>322</v>
      </c>
      <c r="F380" s="2" t="s">
        <v>255</v>
      </c>
    </row>
    <row r="381" spans="1:6" ht="16" x14ac:dyDescent="0.2">
      <c r="A381" s="6" t="str">
        <f t="shared" si="13"/>
        <v>PRODUCT</v>
      </c>
      <c r="B381" s="106" t="s">
        <v>619</v>
      </c>
      <c r="C381" t="s">
        <v>323</v>
      </c>
      <c r="D381" t="s">
        <v>324</v>
      </c>
      <c r="F381" s="2" t="s">
        <v>255</v>
      </c>
    </row>
    <row r="382" spans="1:6" ht="16" x14ac:dyDescent="0.2">
      <c r="A382" s="6" t="str">
        <f t="shared" si="13"/>
        <v>PRODUCT</v>
      </c>
      <c r="B382" s="106" t="s">
        <v>619</v>
      </c>
      <c r="C382" t="s">
        <v>325</v>
      </c>
      <c r="D382" t="s">
        <v>326</v>
      </c>
      <c r="F382" s="2" t="s">
        <v>255</v>
      </c>
    </row>
    <row r="383" spans="1:6" ht="16" x14ac:dyDescent="0.2">
      <c r="A383" s="6" t="str">
        <f t="shared" si="13"/>
        <v>PRODUCT</v>
      </c>
      <c r="B383" s="106" t="s">
        <v>619</v>
      </c>
      <c r="C383" t="s">
        <v>327</v>
      </c>
      <c r="D383" t="s">
        <v>328</v>
      </c>
      <c r="F383" s="2" t="s">
        <v>255</v>
      </c>
    </row>
    <row r="384" spans="1:6" ht="16" x14ac:dyDescent="0.2">
      <c r="A384" s="6" t="str">
        <f t="shared" si="13"/>
        <v>PRODUCT</v>
      </c>
      <c r="B384" s="106" t="s">
        <v>619</v>
      </c>
      <c r="C384" t="s">
        <v>329</v>
      </c>
      <c r="D384" t="s">
        <v>330</v>
      </c>
      <c r="F384" s="2" t="s">
        <v>255</v>
      </c>
    </row>
    <row r="385" spans="1:6" ht="16" x14ac:dyDescent="0.2">
      <c r="A385" s="6" t="str">
        <f t="shared" si="13"/>
        <v>PRODUCT</v>
      </c>
      <c r="B385" s="106" t="s">
        <v>619</v>
      </c>
      <c r="C385" t="s">
        <v>331</v>
      </c>
      <c r="D385" t="s">
        <v>332</v>
      </c>
      <c r="F385" s="2" t="s">
        <v>255</v>
      </c>
    </row>
    <row r="386" spans="1:6" ht="16" x14ac:dyDescent="0.2">
      <c r="A386" s="6" t="str">
        <f t="shared" si="13"/>
        <v>PRODUCT</v>
      </c>
      <c r="B386" s="106" t="s">
        <v>619</v>
      </c>
      <c r="C386" t="s">
        <v>333</v>
      </c>
      <c r="D386" t="s">
        <v>334</v>
      </c>
      <c r="F386" s="2" t="s">
        <v>255</v>
      </c>
    </row>
    <row r="387" spans="1:6" ht="16" x14ac:dyDescent="0.2">
      <c r="A387" s="6" t="str">
        <f t="shared" si="13"/>
        <v>PRODUCT</v>
      </c>
      <c r="B387" s="106" t="s">
        <v>619</v>
      </c>
      <c r="C387" t="s">
        <v>335</v>
      </c>
      <c r="D387" t="s">
        <v>336</v>
      </c>
      <c r="F387" s="2" t="s">
        <v>255</v>
      </c>
    </row>
    <row r="388" spans="1:6" ht="16" x14ac:dyDescent="0.2">
      <c r="A388" s="6" t="str">
        <f t="shared" si="13"/>
        <v>PRODUCT</v>
      </c>
      <c r="B388" s="106" t="s">
        <v>619</v>
      </c>
      <c r="C388" t="s">
        <v>337</v>
      </c>
      <c r="D388" t="s">
        <v>338</v>
      </c>
      <c r="F388" s="2" t="s">
        <v>255</v>
      </c>
    </row>
    <row r="389" spans="1:6" ht="16" x14ac:dyDescent="0.2">
      <c r="A389" s="6" t="str">
        <f t="shared" si="13"/>
        <v>PRODUCT</v>
      </c>
      <c r="B389" s="106" t="s">
        <v>619</v>
      </c>
      <c r="C389" t="s">
        <v>339</v>
      </c>
      <c r="D389" t="s">
        <v>340</v>
      </c>
      <c r="F389" s="2" t="s">
        <v>255</v>
      </c>
    </row>
    <row r="390" spans="1:6" ht="16" x14ac:dyDescent="0.2">
      <c r="A390" s="6" t="str">
        <f t="shared" si="13"/>
        <v>PRODUCT</v>
      </c>
      <c r="B390" s="106" t="s">
        <v>619</v>
      </c>
      <c r="C390" t="s">
        <v>341</v>
      </c>
      <c r="D390" t="s">
        <v>342</v>
      </c>
      <c r="F390" s="2" t="s">
        <v>255</v>
      </c>
    </row>
    <row r="391" spans="1:6" ht="16" x14ac:dyDescent="0.2">
      <c r="A391" s="6" t="str">
        <f t="shared" si="13"/>
        <v>PRODUCT</v>
      </c>
      <c r="B391" s="106" t="s">
        <v>619</v>
      </c>
      <c r="C391" t="s">
        <v>343</v>
      </c>
      <c r="D391" t="s">
        <v>344</v>
      </c>
      <c r="F391" s="2" t="s">
        <v>255</v>
      </c>
    </row>
    <row r="392" spans="1:6" ht="16" x14ac:dyDescent="0.2">
      <c r="A392" s="6" t="str">
        <f t="shared" si="13"/>
        <v>PRODUCT</v>
      </c>
      <c r="B392" s="106" t="s">
        <v>619</v>
      </c>
      <c r="C392" t="s">
        <v>345</v>
      </c>
      <c r="D392" t="s">
        <v>346</v>
      </c>
      <c r="F392" s="2" t="s">
        <v>255</v>
      </c>
    </row>
    <row r="393" spans="1:6" ht="16" x14ac:dyDescent="0.2">
      <c r="A393" s="6" t="str">
        <f t="shared" si="13"/>
        <v>PRODUCT</v>
      </c>
      <c r="B393" s="106" t="s">
        <v>619</v>
      </c>
      <c r="C393" t="s">
        <v>347</v>
      </c>
      <c r="D393" t="s">
        <v>348</v>
      </c>
      <c r="F393" s="2" t="s">
        <v>255</v>
      </c>
    </row>
    <row r="394" spans="1:6" ht="16" x14ac:dyDescent="0.2">
      <c r="A394" s="6" t="str">
        <f t="shared" si="13"/>
        <v>PRODUCT</v>
      </c>
      <c r="B394" s="106" t="s">
        <v>619</v>
      </c>
      <c r="C394" t="s">
        <v>349</v>
      </c>
      <c r="D394" t="s">
        <v>350</v>
      </c>
      <c r="F394" s="2" t="s">
        <v>255</v>
      </c>
    </row>
    <row r="395" spans="1:6" ht="16" x14ac:dyDescent="0.2">
      <c r="A395" s="6" t="str">
        <f t="shared" si="13"/>
        <v>PRODUCT</v>
      </c>
      <c r="B395" s="106" t="s">
        <v>619</v>
      </c>
      <c r="C395" t="s">
        <v>351</v>
      </c>
      <c r="D395" t="s">
        <v>352</v>
      </c>
      <c r="F395" s="2" t="s">
        <v>255</v>
      </c>
    </row>
    <row r="396" spans="1:6" ht="16" x14ac:dyDescent="0.2">
      <c r="A396" s="6" t="str">
        <f t="shared" si="13"/>
        <v>PRODUCT</v>
      </c>
      <c r="B396" s="106" t="s">
        <v>619</v>
      </c>
      <c r="C396" t="s">
        <v>353</v>
      </c>
      <c r="D396" t="s">
        <v>354</v>
      </c>
      <c r="F396" s="2" t="s">
        <v>255</v>
      </c>
    </row>
    <row r="397" spans="1:6" ht="16" x14ac:dyDescent="0.2">
      <c r="A397" s="6" t="str">
        <f t="shared" si="13"/>
        <v>PRODUCT</v>
      </c>
      <c r="B397" s="106" t="s">
        <v>619</v>
      </c>
      <c r="C397" t="s">
        <v>355</v>
      </c>
      <c r="D397" t="s">
        <v>356</v>
      </c>
      <c r="F397" s="2" t="s">
        <v>255</v>
      </c>
    </row>
    <row r="398" spans="1:6" ht="16" x14ac:dyDescent="0.2">
      <c r="A398" s="6" t="str">
        <f t="shared" si="13"/>
        <v>PRODUCT</v>
      </c>
      <c r="B398" s="106" t="s">
        <v>619</v>
      </c>
      <c r="C398" t="s">
        <v>357</v>
      </c>
      <c r="D398" t="s">
        <v>358</v>
      </c>
      <c r="F398" s="2" t="s">
        <v>255</v>
      </c>
    </row>
    <row r="399" spans="1:6" ht="16" x14ac:dyDescent="0.2">
      <c r="A399" s="6" t="str">
        <f t="shared" si="13"/>
        <v>PRODUCT</v>
      </c>
      <c r="B399" s="106" t="s">
        <v>619</v>
      </c>
      <c r="C399" t="s">
        <v>359</v>
      </c>
      <c r="D399" t="s">
        <v>360</v>
      </c>
      <c r="F399" s="2" t="s">
        <v>255</v>
      </c>
    </row>
    <row r="400" spans="1:6" ht="16" x14ac:dyDescent="0.2">
      <c r="A400" s="6" t="str">
        <f t="shared" si="13"/>
        <v>PRODUCT</v>
      </c>
      <c r="B400" s="106" t="s">
        <v>619</v>
      </c>
      <c r="C400" t="s">
        <v>361</v>
      </c>
      <c r="D400" t="s">
        <v>362</v>
      </c>
      <c r="F400" s="2" t="s">
        <v>255</v>
      </c>
    </row>
    <row r="401" spans="1:6" ht="16" x14ac:dyDescent="0.2">
      <c r="A401" s="6" t="str">
        <f t="shared" si="13"/>
        <v>PRODUCT</v>
      </c>
      <c r="B401" s="106" t="s">
        <v>619</v>
      </c>
      <c r="C401" t="s">
        <v>363</v>
      </c>
      <c r="D401" t="s">
        <v>364</v>
      </c>
      <c r="F401" s="2" t="s">
        <v>255</v>
      </c>
    </row>
    <row r="402" spans="1:6" ht="16" x14ac:dyDescent="0.2">
      <c r="A402" s="6" t="str">
        <f t="shared" ref="A402:A433" si="14">IF(C402&lt;&gt;"","PRODUCT","")</f>
        <v>PRODUCT</v>
      </c>
      <c r="B402" s="106" t="s">
        <v>619</v>
      </c>
      <c r="C402" t="s">
        <v>365</v>
      </c>
      <c r="D402" t="s">
        <v>366</v>
      </c>
      <c r="F402" s="2" t="s">
        <v>255</v>
      </c>
    </row>
    <row r="403" spans="1:6" ht="16" x14ac:dyDescent="0.2">
      <c r="A403" s="6" t="str">
        <f t="shared" si="14"/>
        <v>PRODUCT</v>
      </c>
      <c r="B403" s="106" t="s">
        <v>619</v>
      </c>
      <c r="C403" t="s">
        <v>367</v>
      </c>
      <c r="D403" t="s">
        <v>368</v>
      </c>
      <c r="F403" s="2" t="s">
        <v>255</v>
      </c>
    </row>
    <row r="404" spans="1:6" ht="16" x14ac:dyDescent="0.2">
      <c r="A404" s="6" t="str">
        <f t="shared" si="14"/>
        <v>PRODUCT</v>
      </c>
      <c r="B404" s="106" t="s">
        <v>619</v>
      </c>
      <c r="C404" t="s">
        <v>369</v>
      </c>
      <c r="D404" t="s">
        <v>370</v>
      </c>
      <c r="F404" s="2" t="s">
        <v>255</v>
      </c>
    </row>
    <row r="405" spans="1:6" ht="16" x14ac:dyDescent="0.2">
      <c r="A405" s="6" t="str">
        <f t="shared" si="14"/>
        <v>PRODUCT</v>
      </c>
      <c r="B405" s="106" t="s">
        <v>619</v>
      </c>
      <c r="C405" t="s">
        <v>371</v>
      </c>
      <c r="D405" t="s">
        <v>372</v>
      </c>
      <c r="F405" s="2" t="s">
        <v>255</v>
      </c>
    </row>
    <row r="406" spans="1:6" ht="16" x14ac:dyDescent="0.2">
      <c r="A406" s="6" t="str">
        <f t="shared" si="14"/>
        <v>PRODUCT</v>
      </c>
      <c r="B406" s="106" t="s">
        <v>619</v>
      </c>
      <c r="C406" t="s">
        <v>341</v>
      </c>
      <c r="D406" t="s">
        <v>342</v>
      </c>
      <c r="F406" s="2" t="s">
        <v>255</v>
      </c>
    </row>
    <row r="407" spans="1:6" ht="16" x14ac:dyDescent="0.2">
      <c r="A407" s="6" t="str">
        <f t="shared" si="14"/>
        <v>PRODUCT</v>
      </c>
      <c r="B407" s="106" t="s">
        <v>619</v>
      </c>
      <c r="C407" t="s">
        <v>373</v>
      </c>
      <c r="D407" t="s">
        <v>374</v>
      </c>
      <c r="F407" s="2" t="s">
        <v>255</v>
      </c>
    </row>
    <row r="408" spans="1:6" ht="16" x14ac:dyDescent="0.2">
      <c r="A408" s="6" t="str">
        <f t="shared" si="14"/>
        <v>PRODUCT</v>
      </c>
      <c r="B408" s="106" t="s">
        <v>619</v>
      </c>
      <c r="C408" t="s">
        <v>477</v>
      </c>
      <c r="D408" t="s">
        <v>478</v>
      </c>
      <c r="F408" s="2" t="s">
        <v>255</v>
      </c>
    </row>
    <row r="409" spans="1:6" ht="16" x14ac:dyDescent="0.2">
      <c r="A409" s="6" t="str">
        <f t="shared" si="14"/>
        <v>PRODUCT</v>
      </c>
      <c r="B409" s="106" t="s">
        <v>619</v>
      </c>
      <c r="C409" t="s">
        <v>479</v>
      </c>
      <c r="D409" t="s">
        <v>480</v>
      </c>
      <c r="F409" s="2" t="s">
        <v>255</v>
      </c>
    </row>
    <row r="410" spans="1:6" ht="16" x14ac:dyDescent="0.2">
      <c r="A410" s="6" t="str">
        <f t="shared" si="14"/>
        <v>PRODUCT</v>
      </c>
      <c r="B410" s="106" t="s">
        <v>619</v>
      </c>
      <c r="C410" t="s">
        <v>481</v>
      </c>
      <c r="D410" t="s">
        <v>482</v>
      </c>
      <c r="F410" s="2" t="s">
        <v>255</v>
      </c>
    </row>
    <row r="411" spans="1:6" ht="16" x14ac:dyDescent="0.2">
      <c r="A411" s="6" t="str">
        <f t="shared" si="14"/>
        <v>PRODUCT</v>
      </c>
      <c r="B411" s="106" t="s">
        <v>619</v>
      </c>
      <c r="C411" t="s">
        <v>483</v>
      </c>
      <c r="D411" t="s">
        <v>484</v>
      </c>
      <c r="F411" s="2" t="s">
        <v>255</v>
      </c>
    </row>
    <row r="412" spans="1:6" ht="16" x14ac:dyDescent="0.2">
      <c r="A412" s="6" t="str">
        <f t="shared" si="14"/>
        <v>PRODUCT</v>
      </c>
      <c r="B412" s="106" t="s">
        <v>619</v>
      </c>
      <c r="C412" t="s">
        <v>485</v>
      </c>
      <c r="D412" t="s">
        <v>486</v>
      </c>
      <c r="F412" s="2" t="s">
        <v>255</v>
      </c>
    </row>
    <row r="413" spans="1:6" ht="16" x14ac:dyDescent="0.2">
      <c r="A413" s="6" t="str">
        <f t="shared" si="14"/>
        <v>PRODUCT</v>
      </c>
      <c r="B413" s="106" t="s">
        <v>619</v>
      </c>
      <c r="C413" t="s">
        <v>487</v>
      </c>
      <c r="D413" t="s">
        <v>488</v>
      </c>
      <c r="F413" s="2" t="s">
        <v>255</v>
      </c>
    </row>
    <row r="414" spans="1:6" ht="16" x14ac:dyDescent="0.2">
      <c r="A414" s="6" t="str">
        <f t="shared" si="14"/>
        <v>PRODUCT</v>
      </c>
      <c r="B414" s="106" t="s">
        <v>619</v>
      </c>
      <c r="C414" t="s">
        <v>489</v>
      </c>
      <c r="D414" t="s">
        <v>490</v>
      </c>
      <c r="F414" s="2" t="s">
        <v>255</v>
      </c>
    </row>
    <row r="415" spans="1:6" ht="16" x14ac:dyDescent="0.2">
      <c r="A415" s="6" t="str">
        <f t="shared" si="14"/>
        <v>PRODUCT</v>
      </c>
      <c r="B415" s="106" t="s">
        <v>619</v>
      </c>
      <c r="C415" t="s">
        <v>491</v>
      </c>
      <c r="D415" t="s">
        <v>492</v>
      </c>
      <c r="F415" s="2" t="s">
        <v>255</v>
      </c>
    </row>
    <row r="416" spans="1:6" ht="16" x14ac:dyDescent="0.2">
      <c r="A416" s="6" t="str">
        <f t="shared" si="14"/>
        <v>PRODUCT</v>
      </c>
      <c r="B416" s="106" t="s">
        <v>619</v>
      </c>
      <c r="C416" t="s">
        <v>493</v>
      </c>
      <c r="D416" t="s">
        <v>494</v>
      </c>
      <c r="F416" s="2" t="s">
        <v>255</v>
      </c>
    </row>
    <row r="417" spans="1:6" ht="16" x14ac:dyDescent="0.2">
      <c r="A417" s="6" t="str">
        <f t="shared" si="14"/>
        <v>PRODUCT</v>
      </c>
      <c r="B417" s="106" t="s">
        <v>619</v>
      </c>
      <c r="C417" t="s">
        <v>495</v>
      </c>
      <c r="D417" t="s">
        <v>496</v>
      </c>
      <c r="F417" s="2" t="s">
        <v>255</v>
      </c>
    </row>
    <row r="418" spans="1:6" ht="16" x14ac:dyDescent="0.2">
      <c r="A418" s="6" t="str">
        <f t="shared" si="14"/>
        <v>PRODUCT</v>
      </c>
      <c r="B418" s="106" t="s">
        <v>619</v>
      </c>
      <c r="C418" t="s">
        <v>497</v>
      </c>
      <c r="D418" t="s">
        <v>498</v>
      </c>
      <c r="F418" s="2" t="s">
        <v>255</v>
      </c>
    </row>
    <row r="419" spans="1:6" ht="16" x14ac:dyDescent="0.2">
      <c r="A419" s="6" t="str">
        <f t="shared" si="14"/>
        <v>PRODUCT</v>
      </c>
      <c r="B419" s="106" t="s">
        <v>619</v>
      </c>
      <c r="C419" t="s">
        <v>499</v>
      </c>
      <c r="D419" t="s">
        <v>500</v>
      </c>
      <c r="F419" s="2" t="s">
        <v>255</v>
      </c>
    </row>
    <row r="420" spans="1:6" ht="16" x14ac:dyDescent="0.2">
      <c r="A420" s="6" t="str">
        <f t="shared" si="14"/>
        <v>PRODUCT</v>
      </c>
      <c r="B420" s="106" t="s">
        <v>619</v>
      </c>
      <c r="C420" t="s">
        <v>501</v>
      </c>
      <c r="D420" t="s">
        <v>502</v>
      </c>
      <c r="F420" s="2" t="s">
        <v>255</v>
      </c>
    </row>
    <row r="421" spans="1:6" ht="16" x14ac:dyDescent="0.2">
      <c r="A421" s="6" t="str">
        <f t="shared" si="14"/>
        <v>PRODUCT</v>
      </c>
      <c r="B421" s="106" t="s">
        <v>619</v>
      </c>
      <c r="C421" t="s">
        <v>503</v>
      </c>
      <c r="D421" t="s">
        <v>504</v>
      </c>
      <c r="F421" s="2" t="s">
        <v>255</v>
      </c>
    </row>
    <row r="422" spans="1:6" ht="16" x14ac:dyDescent="0.2">
      <c r="A422" s="6" t="str">
        <f t="shared" si="14"/>
        <v>PRODUCT</v>
      </c>
      <c r="B422" s="106" t="s">
        <v>619</v>
      </c>
      <c r="C422" t="s">
        <v>505</v>
      </c>
      <c r="D422" t="s">
        <v>506</v>
      </c>
      <c r="F422" s="2" t="s">
        <v>255</v>
      </c>
    </row>
    <row r="423" spans="1:6" ht="16" x14ac:dyDescent="0.2">
      <c r="A423" s="6" t="str">
        <f t="shared" si="14"/>
        <v>PRODUCT</v>
      </c>
      <c r="B423" s="106" t="s">
        <v>619</v>
      </c>
      <c r="C423" t="s">
        <v>507</v>
      </c>
      <c r="D423" t="s">
        <v>508</v>
      </c>
      <c r="F423" s="2" t="s">
        <v>255</v>
      </c>
    </row>
    <row r="424" spans="1:6" ht="16" x14ac:dyDescent="0.2">
      <c r="A424" s="6" t="str">
        <f t="shared" si="14"/>
        <v>PRODUCT</v>
      </c>
      <c r="B424" s="106" t="s">
        <v>619</v>
      </c>
      <c r="C424" t="s">
        <v>509</v>
      </c>
      <c r="D424" t="s">
        <v>510</v>
      </c>
      <c r="F424" s="2" t="s">
        <v>255</v>
      </c>
    </row>
    <row r="425" spans="1:6" ht="16" x14ac:dyDescent="0.2">
      <c r="A425" s="6" t="str">
        <f t="shared" si="14"/>
        <v>PRODUCT</v>
      </c>
      <c r="B425" s="106" t="s">
        <v>619</v>
      </c>
      <c r="C425" t="s">
        <v>511</v>
      </c>
      <c r="D425" t="s">
        <v>512</v>
      </c>
      <c r="F425" s="2" t="s">
        <v>255</v>
      </c>
    </row>
    <row r="426" spans="1:6" ht="16" x14ac:dyDescent="0.2">
      <c r="A426" s="6" t="str">
        <f t="shared" si="14"/>
        <v>PRODUCT</v>
      </c>
      <c r="B426" s="106" t="s">
        <v>619</v>
      </c>
      <c r="C426" t="s">
        <v>513</v>
      </c>
      <c r="D426" t="s">
        <v>514</v>
      </c>
      <c r="F426" s="2" t="s">
        <v>255</v>
      </c>
    </row>
    <row r="427" spans="1:6" ht="16" x14ac:dyDescent="0.2">
      <c r="A427" s="6" t="str">
        <f t="shared" si="14"/>
        <v>PRODUCT</v>
      </c>
      <c r="B427" s="106" t="s">
        <v>619</v>
      </c>
      <c r="C427" t="s">
        <v>515</v>
      </c>
      <c r="D427" t="s">
        <v>516</v>
      </c>
      <c r="F427" s="2" t="s">
        <v>255</v>
      </c>
    </row>
    <row r="428" spans="1:6" ht="16" x14ac:dyDescent="0.2">
      <c r="A428" s="6" t="str">
        <f t="shared" si="14"/>
        <v>PRODUCT</v>
      </c>
      <c r="B428" s="106" t="s">
        <v>619</v>
      </c>
      <c r="C428" t="s">
        <v>517</v>
      </c>
      <c r="D428" t="s">
        <v>518</v>
      </c>
      <c r="F428" s="2" t="s">
        <v>255</v>
      </c>
    </row>
    <row r="429" spans="1:6" ht="16" x14ac:dyDescent="0.2">
      <c r="A429" s="6" t="str">
        <f t="shared" si="14"/>
        <v>PRODUCT</v>
      </c>
      <c r="B429" s="106" t="s">
        <v>619</v>
      </c>
      <c r="C429" t="s">
        <v>519</v>
      </c>
      <c r="D429" t="s">
        <v>520</v>
      </c>
      <c r="F429" s="2" t="s">
        <v>255</v>
      </c>
    </row>
    <row r="430" spans="1:6" ht="16" x14ac:dyDescent="0.2">
      <c r="A430" s="6" t="str">
        <f t="shared" si="14"/>
        <v>PRODUCT</v>
      </c>
      <c r="B430" s="106" t="s">
        <v>619</v>
      </c>
      <c r="C430" t="s">
        <v>557</v>
      </c>
      <c r="D430" t="s">
        <v>558</v>
      </c>
      <c r="F430" s="2" t="s">
        <v>255</v>
      </c>
    </row>
    <row r="431" spans="1:6" ht="16" x14ac:dyDescent="0.2">
      <c r="A431" s="6" t="str">
        <f t="shared" si="14"/>
        <v>PRODUCT</v>
      </c>
      <c r="B431" s="106" t="s">
        <v>619</v>
      </c>
      <c r="C431" t="s">
        <v>559</v>
      </c>
      <c r="D431" t="s">
        <v>560</v>
      </c>
      <c r="F431" s="2" t="s">
        <v>255</v>
      </c>
    </row>
    <row r="432" spans="1:6" ht="16" x14ac:dyDescent="0.2">
      <c r="A432" s="6" t="str">
        <f t="shared" si="14"/>
        <v>PRODUCT</v>
      </c>
      <c r="B432" s="106" t="s">
        <v>619</v>
      </c>
      <c r="C432" t="s">
        <v>375</v>
      </c>
      <c r="D432" t="s">
        <v>376</v>
      </c>
      <c r="F432" s="2" t="s">
        <v>255</v>
      </c>
    </row>
    <row r="433" spans="1:6" ht="16" x14ac:dyDescent="0.2">
      <c r="A433" s="6" t="str">
        <f t="shared" si="14"/>
        <v>PRODUCT</v>
      </c>
      <c r="B433" s="106" t="s">
        <v>619</v>
      </c>
      <c r="C433" t="s">
        <v>561</v>
      </c>
      <c r="D433" t="s">
        <v>562</v>
      </c>
      <c r="F433" s="2" t="s">
        <v>255</v>
      </c>
    </row>
    <row r="434" spans="1:6" ht="16" x14ac:dyDescent="0.2">
      <c r="A434" s="6" t="str">
        <f t="shared" ref="A434:A440" si="15">IF(C434&lt;&gt;"","PRODUCT","")</f>
        <v>PRODUCT</v>
      </c>
      <c r="B434" s="106" t="s">
        <v>619</v>
      </c>
      <c r="C434" t="s">
        <v>563</v>
      </c>
      <c r="D434" t="s">
        <v>564</v>
      </c>
      <c r="F434" s="2" t="s">
        <v>255</v>
      </c>
    </row>
    <row r="435" spans="1:6" ht="16" x14ac:dyDescent="0.2">
      <c r="A435" s="6" t="str">
        <f t="shared" si="15"/>
        <v>PRODUCT</v>
      </c>
      <c r="B435" s="106" t="s">
        <v>619</v>
      </c>
      <c r="C435" t="s">
        <v>565</v>
      </c>
      <c r="D435" t="s">
        <v>566</v>
      </c>
      <c r="F435" s="2" t="s">
        <v>255</v>
      </c>
    </row>
    <row r="436" spans="1:6" ht="16" x14ac:dyDescent="0.2">
      <c r="A436" s="6" t="str">
        <f t="shared" si="15"/>
        <v>PRODUCT</v>
      </c>
      <c r="B436" s="106" t="s">
        <v>619</v>
      </c>
      <c r="C436" t="s">
        <v>567</v>
      </c>
      <c r="D436" t="s">
        <v>568</v>
      </c>
      <c r="F436" s="2" t="s">
        <v>255</v>
      </c>
    </row>
    <row r="437" spans="1:6" ht="16" x14ac:dyDescent="0.2">
      <c r="A437" s="6" t="str">
        <f t="shared" si="15"/>
        <v>PRODUCT</v>
      </c>
      <c r="B437" s="106" t="s">
        <v>619</v>
      </c>
      <c r="C437" t="s">
        <v>569</v>
      </c>
      <c r="D437" t="s">
        <v>570</v>
      </c>
      <c r="F437" s="2" t="s">
        <v>255</v>
      </c>
    </row>
    <row r="438" spans="1:6" ht="16" x14ac:dyDescent="0.2">
      <c r="A438" s="6" t="str">
        <f t="shared" si="15"/>
        <v>PRODUCT</v>
      </c>
      <c r="B438" s="106" t="s">
        <v>619</v>
      </c>
      <c r="C438" t="s">
        <v>571</v>
      </c>
      <c r="D438" t="s">
        <v>572</v>
      </c>
      <c r="F438" s="2" t="s">
        <v>255</v>
      </c>
    </row>
    <row r="439" spans="1:6" ht="16" x14ac:dyDescent="0.2">
      <c r="A439" s="6" t="str">
        <f t="shared" si="15"/>
        <v>PRODUCT</v>
      </c>
      <c r="B439" s="106" t="s">
        <v>619</v>
      </c>
      <c r="C439" t="s">
        <v>573</v>
      </c>
      <c r="D439" t="s">
        <v>572</v>
      </c>
      <c r="F439" s="2" t="s">
        <v>255</v>
      </c>
    </row>
    <row r="440" spans="1:6" ht="16" x14ac:dyDescent="0.2">
      <c r="A440" s="6" t="str">
        <f t="shared" si="15"/>
        <v>PRODUCT</v>
      </c>
      <c r="B440" s="106" t="s">
        <v>619</v>
      </c>
      <c r="C440" t="s">
        <v>574</v>
      </c>
      <c r="D440" t="s">
        <v>575</v>
      </c>
      <c r="F440" s="2" t="s">
        <v>255</v>
      </c>
    </row>
    <row r="441" spans="1:6" ht="16" x14ac:dyDescent="0.2">
      <c r="A441" s="6" t="str">
        <f>IF(C440&lt;&gt;"","PRODUCT","")</f>
        <v>PRODUCT</v>
      </c>
      <c r="B441" s="106" t="s">
        <v>619</v>
      </c>
      <c r="C441" t="s">
        <v>539</v>
      </c>
      <c r="D441" t="s">
        <v>540</v>
      </c>
      <c r="F441" s="2" t="s">
        <v>255</v>
      </c>
    </row>
    <row r="442" spans="1:6" ht="16" x14ac:dyDescent="0.2">
      <c r="A442" s="6" t="str">
        <f>IF(C442&lt;&gt;"","PRODUCT","")</f>
        <v>PRODUCT</v>
      </c>
      <c r="B442" s="106" t="s">
        <v>619</v>
      </c>
      <c r="C442" t="s">
        <v>541</v>
      </c>
      <c r="D442" t="s">
        <v>542</v>
      </c>
      <c r="F442" s="2" t="s">
        <v>255</v>
      </c>
    </row>
    <row r="443" spans="1:6" ht="16" x14ac:dyDescent="0.2">
      <c r="A443" s="6" t="str">
        <f t="shared" ref="A443:A475" si="16">IF(C441&lt;&gt;"","PRODUCT","")</f>
        <v>PRODUCT</v>
      </c>
      <c r="B443" s="106" t="s">
        <v>619</v>
      </c>
      <c r="C443" t="s">
        <v>543</v>
      </c>
      <c r="D443" t="s">
        <v>544</v>
      </c>
      <c r="F443" s="2" t="s">
        <v>255</v>
      </c>
    </row>
    <row r="444" spans="1:6" ht="16" x14ac:dyDescent="0.2">
      <c r="A444" s="6" t="str">
        <f t="shared" si="16"/>
        <v>PRODUCT</v>
      </c>
      <c r="B444" s="106" t="s">
        <v>619</v>
      </c>
      <c r="C444" t="s">
        <v>545</v>
      </c>
      <c r="D444" t="s">
        <v>546</v>
      </c>
      <c r="F444" s="2" t="s">
        <v>255</v>
      </c>
    </row>
    <row r="445" spans="1:6" ht="16" x14ac:dyDescent="0.2">
      <c r="A445" s="6" t="str">
        <f t="shared" si="16"/>
        <v>PRODUCT</v>
      </c>
      <c r="B445" s="106" t="s">
        <v>619</v>
      </c>
      <c r="C445" t="s">
        <v>547</v>
      </c>
      <c r="D445" t="s">
        <v>548</v>
      </c>
      <c r="F445" s="2" t="s">
        <v>255</v>
      </c>
    </row>
    <row r="446" spans="1:6" ht="16" x14ac:dyDescent="0.2">
      <c r="A446" s="6" t="str">
        <f t="shared" si="16"/>
        <v>PRODUCT</v>
      </c>
      <c r="B446" s="106" t="s">
        <v>619</v>
      </c>
      <c r="C446" t="s">
        <v>549</v>
      </c>
      <c r="D446" t="s">
        <v>550</v>
      </c>
      <c r="F446" s="2" t="s">
        <v>255</v>
      </c>
    </row>
    <row r="447" spans="1:6" ht="16" x14ac:dyDescent="0.2">
      <c r="A447" s="6" t="str">
        <f t="shared" si="16"/>
        <v>PRODUCT</v>
      </c>
      <c r="B447" s="106" t="s">
        <v>619</v>
      </c>
      <c r="C447" t="s">
        <v>551</v>
      </c>
      <c r="D447" t="s">
        <v>552</v>
      </c>
      <c r="F447" s="2" t="s">
        <v>255</v>
      </c>
    </row>
    <row r="448" spans="1:6" ht="16" x14ac:dyDescent="0.2">
      <c r="A448" s="6" t="str">
        <f>IF(C446&lt;&gt;"","PRODUCT","")</f>
        <v>PRODUCT</v>
      </c>
      <c r="B448" s="106" t="s">
        <v>619</v>
      </c>
      <c r="C448" t="s">
        <v>553</v>
      </c>
      <c r="D448" t="s">
        <v>554</v>
      </c>
      <c r="F448" s="2" t="s">
        <v>255</v>
      </c>
    </row>
    <row r="449" spans="1:6" ht="16" x14ac:dyDescent="0.2">
      <c r="A449" s="6" t="str">
        <f>IF(C447&lt;&gt;"","PRODUCT","")</f>
        <v>PRODUCT</v>
      </c>
      <c r="B449" s="106" t="s">
        <v>619</v>
      </c>
      <c r="C449" t="s">
        <v>555</v>
      </c>
      <c r="D449" t="s">
        <v>556</v>
      </c>
      <c r="F449" s="2" t="s">
        <v>255</v>
      </c>
    </row>
    <row r="450" spans="1:6" ht="16" x14ac:dyDescent="0.2">
      <c r="A450" s="6" t="str">
        <f>IF(C447&lt;&gt;"","PRODUCT","")</f>
        <v>PRODUCT</v>
      </c>
      <c r="B450" s="106" t="s">
        <v>619</v>
      </c>
      <c r="C450" t="s">
        <v>605</v>
      </c>
      <c r="D450" t="s">
        <v>606</v>
      </c>
      <c r="F450" s="2" t="s">
        <v>255</v>
      </c>
    </row>
    <row r="451" spans="1:6" ht="16" x14ac:dyDescent="0.2">
      <c r="A451" s="6" t="str">
        <f>IF(C448&lt;&gt;"","PRODUCT","")</f>
        <v>PRODUCT</v>
      </c>
      <c r="B451" s="106" t="s">
        <v>619</v>
      </c>
      <c r="C451" t="s">
        <v>607</v>
      </c>
      <c r="D451" t="s">
        <v>608</v>
      </c>
      <c r="F451" s="2" t="s">
        <v>255</v>
      </c>
    </row>
    <row r="452" spans="1:6" ht="16" x14ac:dyDescent="0.2">
      <c r="A452" s="6" t="str">
        <f t="shared" si="16"/>
        <v>PRODUCT</v>
      </c>
      <c r="B452" s="106" t="s">
        <v>619</v>
      </c>
      <c r="C452" t="s">
        <v>757</v>
      </c>
      <c r="D452" t="s">
        <v>609</v>
      </c>
      <c r="F452" s="2" t="s">
        <v>255</v>
      </c>
    </row>
    <row r="453" spans="1:6" ht="16" x14ac:dyDescent="0.2">
      <c r="A453" s="6" t="str">
        <f t="shared" si="16"/>
        <v>PRODUCT</v>
      </c>
      <c r="B453" s="106" t="s">
        <v>619</v>
      </c>
      <c r="C453" t="s">
        <v>766</v>
      </c>
      <c r="D453" t="s">
        <v>610</v>
      </c>
      <c r="F453" s="2" t="s">
        <v>255</v>
      </c>
    </row>
    <row r="454" spans="1:6" ht="16" x14ac:dyDescent="0.2">
      <c r="A454" s="6" t="str">
        <f t="shared" si="16"/>
        <v>PRODUCT</v>
      </c>
      <c r="B454" s="106" t="s">
        <v>619</v>
      </c>
      <c r="C454" t="s">
        <v>767</v>
      </c>
      <c r="D454" t="s">
        <v>611</v>
      </c>
      <c r="F454" s="2" t="s">
        <v>255</v>
      </c>
    </row>
    <row r="455" spans="1:6" ht="16" x14ac:dyDescent="0.2">
      <c r="A455" s="6" t="str">
        <f t="shared" si="16"/>
        <v>PRODUCT</v>
      </c>
      <c r="B455" s="6" t="s">
        <v>619</v>
      </c>
      <c r="C455" t="s">
        <v>661</v>
      </c>
      <c r="D455" t="s">
        <v>662</v>
      </c>
      <c r="F455" s="2" t="s">
        <v>255</v>
      </c>
    </row>
    <row r="456" spans="1:6" ht="16" x14ac:dyDescent="0.2">
      <c r="A456" s="6" t="str">
        <f t="shared" si="16"/>
        <v>PRODUCT</v>
      </c>
      <c r="B456" s="6" t="s">
        <v>619</v>
      </c>
      <c r="C456" t="s">
        <v>663</v>
      </c>
      <c r="D456" t="s">
        <v>664</v>
      </c>
      <c r="F456" s="2" t="s">
        <v>255</v>
      </c>
    </row>
    <row r="457" spans="1:6" ht="16" x14ac:dyDescent="0.2">
      <c r="A457" s="6" t="str">
        <f t="shared" si="16"/>
        <v>PRODUCT</v>
      </c>
      <c r="B457" s="6" t="s">
        <v>619</v>
      </c>
      <c r="C457" t="s">
        <v>665</v>
      </c>
      <c r="D457" t="s">
        <v>666</v>
      </c>
      <c r="F457" s="2" t="s">
        <v>255</v>
      </c>
    </row>
    <row r="458" spans="1:6" ht="16" x14ac:dyDescent="0.2">
      <c r="A458" s="6" t="str">
        <f t="shared" si="16"/>
        <v>PRODUCT</v>
      </c>
      <c r="B458" s="6" t="s">
        <v>619</v>
      </c>
      <c r="C458" t="s">
        <v>667</v>
      </c>
      <c r="D458" t="s">
        <v>668</v>
      </c>
      <c r="F458" s="2" t="s">
        <v>255</v>
      </c>
    </row>
    <row r="459" spans="1:6" ht="16" x14ac:dyDescent="0.2">
      <c r="A459" s="6" t="str">
        <f t="shared" si="16"/>
        <v>PRODUCT</v>
      </c>
      <c r="B459" s="6" t="s">
        <v>619</v>
      </c>
      <c r="C459" t="s">
        <v>669</v>
      </c>
      <c r="D459" t="s">
        <v>670</v>
      </c>
      <c r="F459" s="2" t="s">
        <v>255</v>
      </c>
    </row>
    <row r="460" spans="1:6" ht="16" x14ac:dyDescent="0.2">
      <c r="A460" s="6" t="str">
        <f t="shared" si="16"/>
        <v>PRODUCT</v>
      </c>
      <c r="B460" s="6" t="s">
        <v>619</v>
      </c>
      <c r="C460" t="s">
        <v>671</v>
      </c>
      <c r="D460" t="s">
        <v>672</v>
      </c>
      <c r="F460" s="2" t="s">
        <v>255</v>
      </c>
    </row>
    <row r="461" spans="1:6" ht="16" x14ac:dyDescent="0.2">
      <c r="A461" s="6" t="str">
        <f t="shared" si="16"/>
        <v>PRODUCT</v>
      </c>
      <c r="B461" s="6" t="s">
        <v>619</v>
      </c>
      <c r="C461" t="s">
        <v>673</v>
      </c>
      <c r="D461" t="s">
        <v>674</v>
      </c>
      <c r="F461" s="2" t="s">
        <v>255</v>
      </c>
    </row>
    <row r="462" spans="1:6" ht="16" x14ac:dyDescent="0.2">
      <c r="A462" s="6" t="str">
        <f t="shared" si="16"/>
        <v>PRODUCT</v>
      </c>
      <c r="B462" s="6" t="s">
        <v>619</v>
      </c>
      <c r="C462" t="s">
        <v>675</v>
      </c>
      <c r="D462" t="s">
        <v>676</v>
      </c>
      <c r="F462" s="2" t="s">
        <v>255</v>
      </c>
    </row>
    <row r="463" spans="1:6" ht="16" x14ac:dyDescent="0.2">
      <c r="A463" s="6" t="str">
        <f t="shared" si="16"/>
        <v>PRODUCT</v>
      </c>
      <c r="B463" s="6" t="s">
        <v>619</v>
      </c>
      <c r="C463" t="s">
        <v>677</v>
      </c>
      <c r="D463" t="s">
        <v>678</v>
      </c>
      <c r="F463" s="2" t="s">
        <v>255</v>
      </c>
    </row>
    <row r="464" spans="1:6" ht="16" x14ac:dyDescent="0.2">
      <c r="A464" s="6" t="str">
        <f t="shared" si="16"/>
        <v>PRODUCT</v>
      </c>
      <c r="B464" s="6" t="s">
        <v>619</v>
      </c>
      <c r="C464" t="s">
        <v>679</v>
      </c>
      <c r="D464" t="s">
        <v>680</v>
      </c>
      <c r="F464" s="2" t="s">
        <v>255</v>
      </c>
    </row>
    <row r="465" spans="1:6" ht="16" x14ac:dyDescent="0.2">
      <c r="A465" s="6" t="str">
        <f t="shared" si="16"/>
        <v>PRODUCT</v>
      </c>
      <c r="B465" s="6" t="s">
        <v>619</v>
      </c>
      <c r="C465" t="s">
        <v>681</v>
      </c>
      <c r="D465" t="s">
        <v>682</v>
      </c>
      <c r="F465" s="2" t="s">
        <v>255</v>
      </c>
    </row>
    <row r="466" spans="1:6" ht="16" x14ac:dyDescent="0.2">
      <c r="A466" s="6" t="str">
        <f t="shared" si="16"/>
        <v>PRODUCT</v>
      </c>
      <c r="B466" s="6" t="s">
        <v>619</v>
      </c>
      <c r="C466" t="s">
        <v>683</v>
      </c>
      <c r="D466" t="s">
        <v>836</v>
      </c>
      <c r="F466" s="2" t="s">
        <v>255</v>
      </c>
    </row>
    <row r="467" spans="1:6" ht="16" x14ac:dyDescent="0.2">
      <c r="A467" s="6" t="str">
        <f t="shared" si="16"/>
        <v>PRODUCT</v>
      </c>
      <c r="B467" s="6" t="s">
        <v>619</v>
      </c>
      <c r="C467" t="s">
        <v>684</v>
      </c>
      <c r="D467" t="s">
        <v>685</v>
      </c>
      <c r="F467" s="2" t="s">
        <v>255</v>
      </c>
    </row>
    <row r="468" spans="1:6" ht="16" x14ac:dyDescent="0.2">
      <c r="A468" s="6" t="str">
        <f t="shared" si="16"/>
        <v>PRODUCT</v>
      </c>
      <c r="B468" s="6" t="s">
        <v>619</v>
      </c>
      <c r="C468" t="s">
        <v>686</v>
      </c>
      <c r="D468" t="s">
        <v>687</v>
      </c>
      <c r="F468" s="2" t="s">
        <v>255</v>
      </c>
    </row>
    <row r="469" spans="1:6" ht="16" x14ac:dyDescent="0.2">
      <c r="A469" s="6" t="str">
        <f t="shared" si="16"/>
        <v>PRODUCT</v>
      </c>
      <c r="B469" s="6" t="s">
        <v>619</v>
      </c>
      <c r="C469" t="s">
        <v>688</v>
      </c>
      <c r="D469" t="s">
        <v>689</v>
      </c>
      <c r="F469" s="2" t="s">
        <v>255</v>
      </c>
    </row>
    <row r="470" spans="1:6" ht="16" x14ac:dyDescent="0.2">
      <c r="A470" s="6" t="str">
        <f t="shared" si="16"/>
        <v>PRODUCT</v>
      </c>
      <c r="B470" s="6" t="s">
        <v>619</v>
      </c>
      <c r="C470" t="s">
        <v>690</v>
      </c>
      <c r="D470" t="s">
        <v>691</v>
      </c>
      <c r="F470" s="2" t="s">
        <v>255</v>
      </c>
    </row>
    <row r="471" spans="1:6" ht="16" x14ac:dyDescent="0.2">
      <c r="A471" s="6" t="str">
        <f t="shared" si="16"/>
        <v>PRODUCT</v>
      </c>
      <c r="B471" s="6" t="s">
        <v>619</v>
      </c>
      <c r="C471" t="s">
        <v>692</v>
      </c>
      <c r="D471" t="s">
        <v>837</v>
      </c>
      <c r="F471" s="2" t="s">
        <v>255</v>
      </c>
    </row>
    <row r="472" spans="1:6" ht="16" x14ac:dyDescent="0.2">
      <c r="A472" s="6" t="str">
        <f t="shared" si="16"/>
        <v>PRODUCT</v>
      </c>
      <c r="B472" s="6" t="s">
        <v>619</v>
      </c>
      <c r="C472" t="s">
        <v>693</v>
      </c>
      <c r="D472" t="s">
        <v>838</v>
      </c>
      <c r="F472" s="2" t="s">
        <v>255</v>
      </c>
    </row>
    <row r="473" spans="1:6" ht="16" x14ac:dyDescent="0.2">
      <c r="A473" s="6" t="str">
        <f t="shared" si="16"/>
        <v>PRODUCT</v>
      </c>
      <c r="B473" s="6" t="s">
        <v>619</v>
      </c>
      <c r="C473" t="s">
        <v>694</v>
      </c>
      <c r="D473" t="s">
        <v>695</v>
      </c>
      <c r="F473" s="2" t="s">
        <v>255</v>
      </c>
    </row>
    <row r="474" spans="1:6" ht="16" x14ac:dyDescent="0.2">
      <c r="A474" s="6" t="str">
        <f t="shared" si="16"/>
        <v>PRODUCT</v>
      </c>
      <c r="B474" s="6" t="s">
        <v>619</v>
      </c>
      <c r="C474" t="s">
        <v>696</v>
      </c>
      <c r="D474" t="s">
        <v>697</v>
      </c>
      <c r="F474" s="2" t="s">
        <v>255</v>
      </c>
    </row>
    <row r="475" spans="1:6" ht="16" x14ac:dyDescent="0.2">
      <c r="A475" s="6" t="str">
        <f t="shared" si="16"/>
        <v>PRODUCT</v>
      </c>
      <c r="B475" s="6" t="s">
        <v>619</v>
      </c>
      <c r="C475" t="s">
        <v>698</v>
      </c>
      <c r="D475" t="s">
        <v>699</v>
      </c>
      <c r="F475" s="2" t="s">
        <v>255</v>
      </c>
    </row>
    <row r="476" spans="1:6" ht="16" x14ac:dyDescent="0.2">
      <c r="A476" s="6" t="str">
        <f t="shared" ref="A476:A507" si="17">IF(C474&lt;&gt;"","PRODUCT","")</f>
        <v>PRODUCT</v>
      </c>
      <c r="B476" s="6" t="s">
        <v>619</v>
      </c>
      <c r="C476" t="s">
        <v>700</v>
      </c>
      <c r="D476" t="s">
        <v>701</v>
      </c>
      <c r="F476" s="2" t="s">
        <v>255</v>
      </c>
    </row>
    <row r="477" spans="1:6" ht="16" x14ac:dyDescent="0.2">
      <c r="A477" s="6" t="str">
        <f t="shared" si="17"/>
        <v>PRODUCT</v>
      </c>
      <c r="B477" s="6" t="s">
        <v>619</v>
      </c>
      <c r="C477" t="s">
        <v>702</v>
      </c>
      <c r="D477" t="s">
        <v>703</v>
      </c>
      <c r="F477" s="2" t="s">
        <v>255</v>
      </c>
    </row>
    <row r="478" spans="1:6" ht="16" x14ac:dyDescent="0.2">
      <c r="A478" s="6" t="str">
        <f t="shared" si="17"/>
        <v>PRODUCT</v>
      </c>
      <c r="B478" s="6" t="s">
        <v>619</v>
      </c>
      <c r="C478" t="s">
        <v>704</v>
      </c>
      <c r="D478" t="s">
        <v>705</v>
      </c>
      <c r="F478" s="2" t="s">
        <v>255</v>
      </c>
    </row>
    <row r="479" spans="1:6" ht="16" x14ac:dyDescent="0.2">
      <c r="A479" s="6" t="str">
        <f t="shared" si="17"/>
        <v>PRODUCT</v>
      </c>
      <c r="B479" s="6" t="s">
        <v>619</v>
      </c>
      <c r="C479" t="s">
        <v>706</v>
      </c>
      <c r="D479" t="s">
        <v>707</v>
      </c>
      <c r="F479" s="2" t="s">
        <v>255</v>
      </c>
    </row>
    <row r="480" spans="1:6" ht="16" x14ac:dyDescent="0.2">
      <c r="A480" s="6" t="str">
        <f t="shared" si="17"/>
        <v>PRODUCT</v>
      </c>
      <c r="B480" s="6" t="s">
        <v>619</v>
      </c>
      <c r="C480" t="s">
        <v>624</v>
      </c>
      <c r="D480" t="s">
        <v>708</v>
      </c>
      <c r="F480" s="2" t="s">
        <v>255</v>
      </c>
    </row>
    <row r="481" spans="1:6" ht="16" x14ac:dyDescent="0.2">
      <c r="A481" s="6" t="str">
        <f t="shared" si="17"/>
        <v>PRODUCT</v>
      </c>
      <c r="B481" s="6" t="s">
        <v>619</v>
      </c>
      <c r="C481" t="s">
        <v>625</v>
      </c>
      <c r="D481" t="s">
        <v>709</v>
      </c>
      <c r="F481" s="2" t="s">
        <v>255</v>
      </c>
    </row>
    <row r="482" spans="1:6" ht="16" x14ac:dyDescent="0.2">
      <c r="A482" s="6" t="str">
        <f t="shared" si="17"/>
        <v>PRODUCT</v>
      </c>
      <c r="B482" s="6" t="s">
        <v>619</v>
      </c>
      <c r="C482" t="s">
        <v>626</v>
      </c>
      <c r="D482" t="s">
        <v>710</v>
      </c>
      <c r="F482" s="2" t="s">
        <v>255</v>
      </c>
    </row>
    <row r="483" spans="1:6" ht="16" x14ac:dyDescent="0.2">
      <c r="A483" s="6" t="str">
        <f t="shared" si="17"/>
        <v>PRODUCT</v>
      </c>
      <c r="B483" s="6" t="s">
        <v>619</v>
      </c>
      <c r="C483" t="s">
        <v>627</v>
      </c>
      <c r="D483" t="s">
        <v>711</v>
      </c>
      <c r="F483" s="2" t="s">
        <v>255</v>
      </c>
    </row>
    <row r="484" spans="1:6" ht="16" x14ac:dyDescent="0.2">
      <c r="A484" s="6" t="str">
        <f t="shared" si="17"/>
        <v>PRODUCT</v>
      </c>
      <c r="B484" s="6" t="s">
        <v>619</v>
      </c>
      <c r="C484" t="s">
        <v>628</v>
      </c>
      <c r="D484" t="s">
        <v>712</v>
      </c>
      <c r="F484" s="2" t="s">
        <v>255</v>
      </c>
    </row>
    <row r="485" spans="1:6" ht="16" x14ac:dyDescent="0.2">
      <c r="A485" s="6" t="str">
        <f t="shared" si="17"/>
        <v>PRODUCT</v>
      </c>
      <c r="B485" s="6" t="s">
        <v>619</v>
      </c>
      <c r="C485" t="s">
        <v>629</v>
      </c>
      <c r="D485" t="s">
        <v>713</v>
      </c>
      <c r="F485" s="2" t="s">
        <v>255</v>
      </c>
    </row>
    <row r="486" spans="1:6" ht="16" x14ac:dyDescent="0.2">
      <c r="A486" s="6" t="str">
        <f t="shared" si="17"/>
        <v>PRODUCT</v>
      </c>
      <c r="B486" s="6" t="s">
        <v>619</v>
      </c>
      <c r="C486" t="s">
        <v>630</v>
      </c>
      <c r="D486" t="s">
        <v>714</v>
      </c>
      <c r="F486" s="2" t="s">
        <v>255</v>
      </c>
    </row>
    <row r="487" spans="1:6" ht="16" x14ac:dyDescent="0.2">
      <c r="A487" s="6" t="str">
        <f t="shared" si="17"/>
        <v>PRODUCT</v>
      </c>
      <c r="B487" s="6" t="s">
        <v>619</v>
      </c>
      <c r="C487" t="s">
        <v>631</v>
      </c>
      <c r="D487" t="s">
        <v>715</v>
      </c>
      <c r="F487" s="2" t="s">
        <v>255</v>
      </c>
    </row>
    <row r="488" spans="1:6" ht="16" x14ac:dyDescent="0.2">
      <c r="A488" s="6" t="str">
        <f t="shared" si="17"/>
        <v>PRODUCT</v>
      </c>
      <c r="B488" s="6" t="s">
        <v>619</v>
      </c>
      <c r="C488" t="s">
        <v>632</v>
      </c>
      <c r="D488" t="s">
        <v>716</v>
      </c>
      <c r="F488" s="2" t="s">
        <v>255</v>
      </c>
    </row>
    <row r="489" spans="1:6" ht="16" x14ac:dyDescent="0.2">
      <c r="A489" s="6" t="str">
        <f t="shared" si="17"/>
        <v>PRODUCT</v>
      </c>
      <c r="B489" s="6" t="s">
        <v>619</v>
      </c>
      <c r="C489" t="s">
        <v>633</v>
      </c>
      <c r="D489" t="s">
        <v>717</v>
      </c>
      <c r="F489" s="2" t="s">
        <v>255</v>
      </c>
    </row>
    <row r="490" spans="1:6" ht="16" x14ac:dyDescent="0.2">
      <c r="A490" s="6" t="str">
        <f t="shared" si="17"/>
        <v>PRODUCT</v>
      </c>
      <c r="B490" s="6" t="s">
        <v>619</v>
      </c>
      <c r="C490" t="s">
        <v>634</v>
      </c>
      <c r="D490" t="s">
        <v>718</v>
      </c>
      <c r="F490" s="2" t="s">
        <v>255</v>
      </c>
    </row>
    <row r="491" spans="1:6" ht="16" x14ac:dyDescent="0.2">
      <c r="A491" s="6" t="str">
        <f t="shared" si="17"/>
        <v>PRODUCT</v>
      </c>
      <c r="B491" s="6" t="s">
        <v>619</v>
      </c>
      <c r="C491" t="s">
        <v>635</v>
      </c>
      <c r="D491" t="s">
        <v>719</v>
      </c>
      <c r="F491" s="2" t="s">
        <v>255</v>
      </c>
    </row>
    <row r="492" spans="1:6" ht="16" x14ac:dyDescent="0.2">
      <c r="A492" s="6" t="str">
        <f t="shared" si="17"/>
        <v>PRODUCT</v>
      </c>
      <c r="B492" s="6" t="s">
        <v>619</v>
      </c>
      <c r="C492" t="s">
        <v>636</v>
      </c>
      <c r="D492" t="s">
        <v>720</v>
      </c>
      <c r="F492" s="2" t="s">
        <v>255</v>
      </c>
    </row>
    <row r="493" spans="1:6" ht="16" x14ac:dyDescent="0.2">
      <c r="A493" s="6" t="str">
        <f t="shared" si="17"/>
        <v>PRODUCT</v>
      </c>
      <c r="B493" s="6" t="s">
        <v>619</v>
      </c>
      <c r="C493" t="s">
        <v>637</v>
      </c>
      <c r="D493" t="s">
        <v>721</v>
      </c>
      <c r="F493" s="2" t="s">
        <v>255</v>
      </c>
    </row>
    <row r="494" spans="1:6" ht="16" x14ac:dyDescent="0.2">
      <c r="A494" s="6" t="str">
        <f t="shared" si="17"/>
        <v>PRODUCT</v>
      </c>
      <c r="B494" s="6" t="s">
        <v>619</v>
      </c>
      <c r="C494" t="s">
        <v>638</v>
      </c>
      <c r="D494" t="s">
        <v>722</v>
      </c>
      <c r="F494" s="2" t="s">
        <v>255</v>
      </c>
    </row>
    <row r="495" spans="1:6" ht="16" x14ac:dyDescent="0.2">
      <c r="A495" s="6" t="str">
        <f t="shared" si="17"/>
        <v>PRODUCT</v>
      </c>
      <c r="B495" s="6" t="s">
        <v>619</v>
      </c>
      <c r="C495" t="s">
        <v>639</v>
      </c>
      <c r="D495" t="s">
        <v>723</v>
      </c>
      <c r="F495" s="2" t="s">
        <v>255</v>
      </c>
    </row>
    <row r="496" spans="1:6" ht="16" x14ac:dyDescent="0.2">
      <c r="A496" s="6" t="str">
        <f t="shared" si="17"/>
        <v>PRODUCT</v>
      </c>
      <c r="B496" s="6" t="s">
        <v>619</v>
      </c>
      <c r="C496" t="s">
        <v>640</v>
      </c>
      <c r="D496" t="s">
        <v>724</v>
      </c>
      <c r="F496" s="2" t="s">
        <v>255</v>
      </c>
    </row>
    <row r="497" spans="1:6" ht="16" x14ac:dyDescent="0.2">
      <c r="A497" s="6" t="str">
        <f t="shared" si="17"/>
        <v>PRODUCT</v>
      </c>
      <c r="B497" s="6" t="s">
        <v>619</v>
      </c>
      <c r="C497" t="s">
        <v>641</v>
      </c>
      <c r="D497" t="s">
        <v>730</v>
      </c>
      <c r="F497" s="2" t="s">
        <v>255</v>
      </c>
    </row>
    <row r="498" spans="1:6" ht="16" x14ac:dyDescent="0.2">
      <c r="A498" s="6" t="str">
        <f t="shared" si="17"/>
        <v>PRODUCT</v>
      </c>
      <c r="B498" s="6" t="s">
        <v>619</v>
      </c>
      <c r="C498" t="s">
        <v>642</v>
      </c>
      <c r="D498" t="s">
        <v>731</v>
      </c>
      <c r="F498" s="2" t="s">
        <v>255</v>
      </c>
    </row>
    <row r="499" spans="1:6" ht="16" x14ac:dyDescent="0.2">
      <c r="A499" s="6" t="str">
        <f t="shared" si="17"/>
        <v>PRODUCT</v>
      </c>
      <c r="B499" s="6" t="s">
        <v>619</v>
      </c>
      <c r="C499" t="s">
        <v>643</v>
      </c>
      <c r="D499" t="s">
        <v>732</v>
      </c>
      <c r="F499" s="2" t="s">
        <v>255</v>
      </c>
    </row>
    <row r="500" spans="1:6" ht="16" x14ac:dyDescent="0.2">
      <c r="A500" s="6" t="str">
        <f t="shared" si="17"/>
        <v>PRODUCT</v>
      </c>
      <c r="B500" s="6" t="s">
        <v>619</v>
      </c>
      <c r="C500" t="s">
        <v>644</v>
      </c>
      <c r="D500" t="s">
        <v>725</v>
      </c>
      <c r="F500" s="2" t="s">
        <v>255</v>
      </c>
    </row>
    <row r="501" spans="1:6" ht="16" x14ac:dyDescent="0.2">
      <c r="A501" s="6" t="str">
        <f t="shared" si="17"/>
        <v>PRODUCT</v>
      </c>
      <c r="B501" s="6" t="s">
        <v>619</v>
      </c>
      <c r="C501" t="s">
        <v>645</v>
      </c>
      <c r="D501" t="s">
        <v>733</v>
      </c>
      <c r="F501" s="2" t="s">
        <v>255</v>
      </c>
    </row>
    <row r="502" spans="1:6" ht="16" x14ac:dyDescent="0.2">
      <c r="A502" s="6" t="str">
        <f t="shared" si="17"/>
        <v>PRODUCT</v>
      </c>
      <c r="B502" s="6" t="s">
        <v>619</v>
      </c>
      <c r="C502" t="s">
        <v>646</v>
      </c>
      <c r="D502" t="s">
        <v>734</v>
      </c>
      <c r="F502" s="2" t="s">
        <v>255</v>
      </c>
    </row>
    <row r="503" spans="1:6" ht="16" x14ac:dyDescent="0.2">
      <c r="A503" s="6" t="str">
        <f t="shared" si="17"/>
        <v>PRODUCT</v>
      </c>
      <c r="B503" s="6" t="s">
        <v>619</v>
      </c>
      <c r="C503" t="s">
        <v>647</v>
      </c>
      <c r="D503" t="s">
        <v>735</v>
      </c>
      <c r="F503" s="2" t="s">
        <v>255</v>
      </c>
    </row>
    <row r="504" spans="1:6" ht="16" x14ac:dyDescent="0.2">
      <c r="A504" s="6" t="str">
        <f t="shared" si="17"/>
        <v>PRODUCT</v>
      </c>
      <c r="B504" s="6" t="s">
        <v>619</v>
      </c>
      <c r="C504" t="s">
        <v>648</v>
      </c>
      <c r="D504" t="s">
        <v>726</v>
      </c>
      <c r="F504" s="2" t="s">
        <v>255</v>
      </c>
    </row>
    <row r="505" spans="1:6" ht="16" x14ac:dyDescent="0.2">
      <c r="A505" s="6" t="str">
        <f t="shared" si="17"/>
        <v>PRODUCT</v>
      </c>
      <c r="B505" s="6" t="s">
        <v>619</v>
      </c>
      <c r="C505" t="s">
        <v>649</v>
      </c>
      <c r="D505" t="s">
        <v>736</v>
      </c>
      <c r="F505" s="2" t="s">
        <v>255</v>
      </c>
    </row>
    <row r="506" spans="1:6" ht="16" x14ac:dyDescent="0.2">
      <c r="A506" s="6" t="str">
        <f t="shared" si="17"/>
        <v>PRODUCT</v>
      </c>
      <c r="B506" s="6" t="s">
        <v>619</v>
      </c>
      <c r="C506" t="s">
        <v>650</v>
      </c>
      <c r="D506" t="s">
        <v>737</v>
      </c>
      <c r="F506" s="2" t="s">
        <v>255</v>
      </c>
    </row>
    <row r="507" spans="1:6" ht="16" x14ac:dyDescent="0.2">
      <c r="A507" s="6" t="str">
        <f t="shared" si="17"/>
        <v>PRODUCT</v>
      </c>
      <c r="B507" s="6" t="s">
        <v>619</v>
      </c>
      <c r="C507" t="s">
        <v>651</v>
      </c>
      <c r="D507" t="s">
        <v>738</v>
      </c>
      <c r="F507" s="2" t="s">
        <v>255</v>
      </c>
    </row>
    <row r="508" spans="1:6" ht="16" x14ac:dyDescent="0.2">
      <c r="A508" s="6" t="str">
        <f t="shared" ref="A508:A539" si="18">IF(C506&lt;&gt;"","PRODUCT","")</f>
        <v>PRODUCT</v>
      </c>
      <c r="B508" s="6" t="s">
        <v>619</v>
      </c>
      <c r="C508" t="s">
        <v>652</v>
      </c>
      <c r="D508" t="s">
        <v>727</v>
      </c>
      <c r="F508" s="2" t="s">
        <v>255</v>
      </c>
    </row>
    <row r="509" spans="1:6" ht="16" x14ac:dyDescent="0.2">
      <c r="A509" s="6" t="str">
        <f t="shared" si="18"/>
        <v>PRODUCT</v>
      </c>
      <c r="B509" s="6" t="s">
        <v>619</v>
      </c>
      <c r="C509" t="s">
        <v>653</v>
      </c>
      <c r="D509" t="s">
        <v>739</v>
      </c>
      <c r="F509" s="2" t="s">
        <v>255</v>
      </c>
    </row>
    <row r="510" spans="1:6" ht="16" x14ac:dyDescent="0.2">
      <c r="A510" s="6" t="str">
        <f t="shared" si="18"/>
        <v>PRODUCT</v>
      </c>
      <c r="B510" s="6" t="s">
        <v>619</v>
      </c>
      <c r="C510" t="s">
        <v>654</v>
      </c>
      <c r="D510" t="s">
        <v>740</v>
      </c>
      <c r="F510" s="2" t="s">
        <v>255</v>
      </c>
    </row>
    <row r="511" spans="1:6" ht="16" x14ac:dyDescent="0.2">
      <c r="A511" s="6" t="str">
        <f t="shared" si="18"/>
        <v>PRODUCT</v>
      </c>
      <c r="B511" s="6" t="s">
        <v>619</v>
      </c>
      <c r="C511" t="s">
        <v>655</v>
      </c>
      <c r="D511" t="s">
        <v>741</v>
      </c>
      <c r="F511" s="2" t="s">
        <v>255</v>
      </c>
    </row>
    <row r="512" spans="1:6" ht="16" x14ac:dyDescent="0.2">
      <c r="A512" s="6" t="str">
        <f t="shared" si="18"/>
        <v>PRODUCT</v>
      </c>
      <c r="B512" s="6" t="s">
        <v>619</v>
      </c>
      <c r="C512" t="s">
        <v>656</v>
      </c>
      <c r="D512" t="s">
        <v>728</v>
      </c>
      <c r="F512" s="2" t="s">
        <v>255</v>
      </c>
    </row>
    <row r="513" spans="1:6" ht="16" x14ac:dyDescent="0.2">
      <c r="A513" s="6" t="str">
        <f t="shared" si="18"/>
        <v>PRODUCT</v>
      </c>
      <c r="B513" s="6" t="s">
        <v>619</v>
      </c>
      <c r="C513" t="s">
        <v>657</v>
      </c>
      <c r="D513" t="s">
        <v>742</v>
      </c>
      <c r="F513" s="2" t="s">
        <v>255</v>
      </c>
    </row>
    <row r="514" spans="1:6" ht="16" x14ac:dyDescent="0.2">
      <c r="A514" s="6" t="str">
        <f t="shared" si="18"/>
        <v>PRODUCT</v>
      </c>
      <c r="B514" s="6" t="s">
        <v>619</v>
      </c>
      <c r="C514" t="s">
        <v>658</v>
      </c>
      <c r="D514" t="s">
        <v>743</v>
      </c>
      <c r="F514" s="2" t="s">
        <v>255</v>
      </c>
    </row>
    <row r="515" spans="1:6" ht="16" x14ac:dyDescent="0.2">
      <c r="A515" s="6" t="str">
        <f t="shared" si="18"/>
        <v>PRODUCT</v>
      </c>
      <c r="B515" s="6" t="s">
        <v>619</v>
      </c>
      <c r="C515" t="s">
        <v>659</v>
      </c>
      <c r="D515" t="s">
        <v>744</v>
      </c>
      <c r="F515" s="2" t="s">
        <v>255</v>
      </c>
    </row>
    <row r="516" spans="1:6" ht="16" x14ac:dyDescent="0.2">
      <c r="A516" s="6" t="str">
        <f t="shared" si="18"/>
        <v>PRODUCT</v>
      </c>
      <c r="B516" s="6" t="s">
        <v>619</v>
      </c>
      <c r="C516" t="s">
        <v>660</v>
      </c>
      <c r="D516" t="s">
        <v>729</v>
      </c>
      <c r="F516" s="2" t="s">
        <v>255</v>
      </c>
    </row>
    <row r="517" spans="1:6" ht="16" x14ac:dyDescent="0.2">
      <c r="A517" s="6" t="str">
        <f t="shared" si="18"/>
        <v>PRODUCT</v>
      </c>
      <c r="B517" s="6" t="s">
        <v>619</v>
      </c>
      <c r="C517" t="s">
        <v>773</v>
      </c>
      <c r="D517" t="s">
        <v>839</v>
      </c>
      <c r="F517" s="2" t="s">
        <v>255</v>
      </c>
    </row>
    <row r="518" spans="1:6" ht="16" x14ac:dyDescent="0.2">
      <c r="A518" s="6" t="str">
        <f t="shared" si="18"/>
        <v>PRODUCT</v>
      </c>
      <c r="B518" s="6" t="s">
        <v>619</v>
      </c>
      <c r="C518" t="s">
        <v>774</v>
      </c>
      <c r="D518" t="s">
        <v>840</v>
      </c>
      <c r="F518" s="2" t="s">
        <v>255</v>
      </c>
    </row>
    <row r="519" spans="1:6" ht="16" x14ac:dyDescent="0.2">
      <c r="A519" s="6" t="str">
        <f t="shared" si="18"/>
        <v>PRODUCT</v>
      </c>
      <c r="B519" s="6" t="s">
        <v>619</v>
      </c>
      <c r="C519" t="s">
        <v>775</v>
      </c>
      <c r="D519" t="s">
        <v>841</v>
      </c>
      <c r="F519" s="2" t="s">
        <v>255</v>
      </c>
    </row>
    <row r="520" spans="1:6" ht="16" x14ac:dyDescent="0.2">
      <c r="A520" s="6" t="str">
        <f t="shared" si="18"/>
        <v>PRODUCT</v>
      </c>
      <c r="B520" s="6" t="s">
        <v>619</v>
      </c>
      <c r="C520" t="s">
        <v>776</v>
      </c>
      <c r="D520" t="s">
        <v>842</v>
      </c>
      <c r="F520" s="2" t="s">
        <v>255</v>
      </c>
    </row>
    <row r="521" spans="1:6" ht="16" x14ac:dyDescent="0.2">
      <c r="A521" s="6" t="str">
        <f t="shared" si="18"/>
        <v>PRODUCT</v>
      </c>
      <c r="B521" s="6" t="s">
        <v>619</v>
      </c>
      <c r="C521" t="s">
        <v>777</v>
      </c>
      <c r="D521" t="s">
        <v>843</v>
      </c>
      <c r="F521" s="2" t="s">
        <v>255</v>
      </c>
    </row>
    <row r="522" spans="1:6" ht="16" x14ac:dyDescent="0.2">
      <c r="A522" s="6" t="str">
        <f t="shared" si="18"/>
        <v>PRODUCT</v>
      </c>
      <c r="B522" s="6" t="s">
        <v>619</v>
      </c>
      <c r="C522" t="s">
        <v>778</v>
      </c>
      <c r="D522" t="s">
        <v>844</v>
      </c>
      <c r="F522" s="2" t="s">
        <v>255</v>
      </c>
    </row>
    <row r="523" spans="1:6" ht="16" x14ac:dyDescent="0.2">
      <c r="A523" s="6" t="str">
        <f t="shared" si="18"/>
        <v>PRODUCT</v>
      </c>
      <c r="B523" s="6" t="s">
        <v>619</v>
      </c>
      <c r="C523" t="s">
        <v>779</v>
      </c>
      <c r="D523" t="s">
        <v>845</v>
      </c>
      <c r="F523" s="2" t="s">
        <v>255</v>
      </c>
    </row>
    <row r="524" spans="1:6" ht="16" x14ac:dyDescent="0.2">
      <c r="A524" s="6" t="str">
        <f t="shared" si="18"/>
        <v>PRODUCT</v>
      </c>
      <c r="B524" s="6" t="s">
        <v>619</v>
      </c>
      <c r="C524" t="s">
        <v>780</v>
      </c>
      <c r="D524" t="s">
        <v>846</v>
      </c>
      <c r="F524" s="2" t="s">
        <v>255</v>
      </c>
    </row>
    <row r="525" spans="1:6" ht="16" x14ac:dyDescent="0.2">
      <c r="A525" s="6" t="str">
        <f t="shared" si="18"/>
        <v>PRODUCT</v>
      </c>
      <c r="B525" s="6" t="s">
        <v>619</v>
      </c>
      <c r="C525" t="s">
        <v>781</v>
      </c>
      <c r="D525" t="s">
        <v>847</v>
      </c>
      <c r="F525" s="2" t="s">
        <v>255</v>
      </c>
    </row>
    <row r="526" spans="1:6" ht="16" x14ac:dyDescent="0.2">
      <c r="A526" s="6" t="str">
        <f t="shared" si="18"/>
        <v>PRODUCT</v>
      </c>
      <c r="B526" s="6" t="s">
        <v>619</v>
      </c>
      <c r="C526" t="s">
        <v>782</v>
      </c>
      <c r="D526" t="s">
        <v>848</v>
      </c>
      <c r="F526" s="2" t="s">
        <v>255</v>
      </c>
    </row>
    <row r="527" spans="1:6" ht="16" x14ac:dyDescent="0.2">
      <c r="A527" s="6" t="str">
        <f t="shared" si="18"/>
        <v>PRODUCT</v>
      </c>
      <c r="B527" s="6" t="s">
        <v>619</v>
      </c>
      <c r="C527" t="s">
        <v>783</v>
      </c>
      <c r="D527" t="s">
        <v>849</v>
      </c>
      <c r="F527" s="2" t="s">
        <v>255</v>
      </c>
    </row>
    <row r="528" spans="1:6" ht="16" x14ac:dyDescent="0.2">
      <c r="A528" s="6" t="str">
        <f t="shared" si="18"/>
        <v>PRODUCT</v>
      </c>
      <c r="B528" s="6" t="s">
        <v>619</v>
      </c>
      <c r="C528" t="s">
        <v>784</v>
      </c>
      <c r="D528" t="s">
        <v>850</v>
      </c>
      <c r="F528" s="2" t="s">
        <v>255</v>
      </c>
    </row>
    <row r="529" spans="1:6" ht="16" x14ac:dyDescent="0.2">
      <c r="A529" s="6" t="str">
        <f t="shared" si="18"/>
        <v>PRODUCT</v>
      </c>
      <c r="B529" s="6" t="s">
        <v>619</v>
      </c>
      <c r="C529" t="s">
        <v>785</v>
      </c>
      <c r="D529" t="s">
        <v>851</v>
      </c>
      <c r="F529" s="2" t="s">
        <v>255</v>
      </c>
    </row>
    <row r="530" spans="1:6" ht="16" x14ac:dyDescent="0.2">
      <c r="A530" s="6" t="str">
        <f t="shared" si="18"/>
        <v>PRODUCT</v>
      </c>
      <c r="B530" s="6" t="s">
        <v>619</v>
      </c>
      <c r="C530" t="s">
        <v>786</v>
      </c>
      <c r="D530" t="s">
        <v>852</v>
      </c>
      <c r="F530" s="2" t="s">
        <v>255</v>
      </c>
    </row>
    <row r="531" spans="1:6" ht="16" x14ac:dyDescent="0.2">
      <c r="A531" s="6" t="str">
        <f t="shared" si="18"/>
        <v>PRODUCT</v>
      </c>
      <c r="B531" s="6" t="s">
        <v>619</v>
      </c>
      <c r="C531" t="s">
        <v>787</v>
      </c>
      <c r="D531" t="s">
        <v>853</v>
      </c>
      <c r="F531" s="2" t="s">
        <v>255</v>
      </c>
    </row>
    <row r="532" spans="1:6" ht="16" x14ac:dyDescent="0.2">
      <c r="A532" s="6" t="str">
        <f t="shared" si="18"/>
        <v>PRODUCT</v>
      </c>
      <c r="B532" s="6" t="s">
        <v>619</v>
      </c>
      <c r="C532" t="s">
        <v>788</v>
      </c>
      <c r="D532" t="s">
        <v>854</v>
      </c>
      <c r="F532" s="2" t="s">
        <v>255</v>
      </c>
    </row>
    <row r="533" spans="1:6" ht="16" x14ac:dyDescent="0.2">
      <c r="A533" s="6" t="str">
        <f t="shared" si="18"/>
        <v>PRODUCT</v>
      </c>
      <c r="B533" s="6" t="s">
        <v>619</v>
      </c>
      <c r="C533" t="s">
        <v>789</v>
      </c>
      <c r="D533" t="s">
        <v>855</v>
      </c>
      <c r="F533" s="2" t="s">
        <v>255</v>
      </c>
    </row>
    <row r="534" spans="1:6" ht="16" x14ac:dyDescent="0.2">
      <c r="A534" s="6" t="str">
        <f t="shared" si="18"/>
        <v>PRODUCT</v>
      </c>
      <c r="B534" s="6" t="s">
        <v>619</v>
      </c>
      <c r="C534" t="s">
        <v>790</v>
      </c>
      <c r="D534" t="s">
        <v>856</v>
      </c>
      <c r="F534" s="2" t="s">
        <v>255</v>
      </c>
    </row>
    <row r="535" spans="1:6" ht="16" x14ac:dyDescent="0.2">
      <c r="A535" s="6" t="str">
        <f t="shared" si="18"/>
        <v>PRODUCT</v>
      </c>
      <c r="B535" s="6" t="s">
        <v>619</v>
      </c>
      <c r="C535" t="s">
        <v>791</v>
      </c>
      <c r="D535" t="s">
        <v>857</v>
      </c>
      <c r="F535" s="2" t="s">
        <v>255</v>
      </c>
    </row>
    <row r="536" spans="1:6" ht="16" x14ac:dyDescent="0.2">
      <c r="A536" s="6" t="str">
        <f t="shared" si="18"/>
        <v>PRODUCT</v>
      </c>
      <c r="B536" s="6" t="s">
        <v>619</v>
      </c>
      <c r="C536" t="s">
        <v>792</v>
      </c>
      <c r="D536" t="s">
        <v>858</v>
      </c>
      <c r="F536" s="2" t="s">
        <v>255</v>
      </c>
    </row>
    <row r="537" spans="1:6" ht="16" x14ac:dyDescent="0.2">
      <c r="A537" s="6" t="str">
        <f t="shared" si="18"/>
        <v>PRODUCT</v>
      </c>
      <c r="B537" s="6" t="s">
        <v>619</v>
      </c>
      <c r="C537" t="s">
        <v>793</v>
      </c>
      <c r="D537" t="s">
        <v>859</v>
      </c>
      <c r="F537" s="2" t="s">
        <v>255</v>
      </c>
    </row>
    <row r="538" spans="1:6" ht="16" x14ac:dyDescent="0.2">
      <c r="A538" s="6" t="str">
        <f t="shared" si="18"/>
        <v>PRODUCT</v>
      </c>
      <c r="B538" s="6" t="s">
        <v>619</v>
      </c>
      <c r="C538" t="s">
        <v>794</v>
      </c>
      <c r="D538" t="s">
        <v>860</v>
      </c>
      <c r="F538" s="2" t="s">
        <v>255</v>
      </c>
    </row>
    <row r="539" spans="1:6" ht="16" x14ac:dyDescent="0.2">
      <c r="A539" s="6" t="str">
        <f t="shared" si="18"/>
        <v>PRODUCT</v>
      </c>
      <c r="B539" s="6" t="s">
        <v>619</v>
      </c>
      <c r="C539" t="s">
        <v>795</v>
      </c>
      <c r="D539" t="s">
        <v>861</v>
      </c>
      <c r="F539" s="2" t="s">
        <v>255</v>
      </c>
    </row>
    <row r="540" spans="1:6" ht="16" x14ac:dyDescent="0.2">
      <c r="A540" s="6" t="str">
        <f t="shared" ref="A540:A571" si="19">IF(C538&lt;&gt;"","PRODUCT","")</f>
        <v>PRODUCT</v>
      </c>
      <c r="B540" s="6" t="s">
        <v>619</v>
      </c>
      <c r="C540" t="s">
        <v>796</v>
      </c>
      <c r="D540" t="s">
        <v>862</v>
      </c>
      <c r="F540" s="2" t="s">
        <v>255</v>
      </c>
    </row>
    <row r="541" spans="1:6" ht="16" x14ac:dyDescent="0.2">
      <c r="A541" s="6" t="str">
        <f t="shared" si="19"/>
        <v>PRODUCT</v>
      </c>
      <c r="B541" s="6" t="s">
        <v>619</v>
      </c>
      <c r="C541" t="s">
        <v>797</v>
      </c>
      <c r="D541" t="s">
        <v>863</v>
      </c>
      <c r="F541" s="2" t="s">
        <v>255</v>
      </c>
    </row>
    <row r="542" spans="1:6" ht="16" x14ac:dyDescent="0.2">
      <c r="A542" s="6" t="str">
        <f t="shared" si="19"/>
        <v>PRODUCT</v>
      </c>
      <c r="B542" s="6" t="s">
        <v>619</v>
      </c>
      <c r="C542" t="s">
        <v>798</v>
      </c>
      <c r="D542" t="s">
        <v>864</v>
      </c>
      <c r="F542" s="2" t="s">
        <v>255</v>
      </c>
    </row>
    <row r="543" spans="1:6" ht="16" x14ac:dyDescent="0.2">
      <c r="A543" s="6" t="str">
        <f t="shared" si="19"/>
        <v>PRODUCT</v>
      </c>
      <c r="B543" s="6" t="s">
        <v>619</v>
      </c>
      <c r="C543" t="s">
        <v>799</v>
      </c>
      <c r="D543" t="s">
        <v>865</v>
      </c>
      <c r="F543" s="2" t="s">
        <v>255</v>
      </c>
    </row>
    <row r="544" spans="1:6" ht="16" x14ac:dyDescent="0.2">
      <c r="A544" s="6" t="str">
        <f t="shared" si="19"/>
        <v>PRODUCT</v>
      </c>
      <c r="B544" s="6" t="s">
        <v>619</v>
      </c>
      <c r="C544" t="s">
        <v>800</v>
      </c>
      <c r="D544" t="s">
        <v>866</v>
      </c>
      <c r="F544" s="2" t="s">
        <v>255</v>
      </c>
    </row>
    <row r="545" spans="1:6" ht="16" x14ac:dyDescent="0.2">
      <c r="A545" s="6" t="str">
        <f t="shared" si="19"/>
        <v>PRODUCT</v>
      </c>
      <c r="B545" s="6" t="s">
        <v>619</v>
      </c>
      <c r="C545" t="s">
        <v>801</v>
      </c>
      <c r="D545" t="s">
        <v>867</v>
      </c>
      <c r="F545" s="2" t="s">
        <v>255</v>
      </c>
    </row>
    <row r="546" spans="1:6" ht="16" x14ac:dyDescent="0.2">
      <c r="A546" s="6" t="str">
        <f t="shared" si="19"/>
        <v>PRODUCT</v>
      </c>
      <c r="B546" s="6" t="s">
        <v>619</v>
      </c>
      <c r="C546" t="s">
        <v>802</v>
      </c>
      <c r="D546" t="s">
        <v>868</v>
      </c>
      <c r="F546" s="2" t="s">
        <v>255</v>
      </c>
    </row>
    <row r="547" spans="1:6" ht="16" x14ac:dyDescent="0.2">
      <c r="A547" s="6" t="str">
        <f t="shared" si="19"/>
        <v>PRODUCT</v>
      </c>
      <c r="B547" s="6" t="s">
        <v>619</v>
      </c>
      <c r="C547" t="s">
        <v>803</v>
      </c>
      <c r="D547" t="s">
        <v>869</v>
      </c>
      <c r="F547" s="2" t="s">
        <v>255</v>
      </c>
    </row>
    <row r="548" spans="1:6" ht="16" x14ac:dyDescent="0.2">
      <c r="A548" s="6" t="str">
        <f t="shared" si="19"/>
        <v>PRODUCT</v>
      </c>
      <c r="B548" s="6" t="s">
        <v>619</v>
      </c>
      <c r="C548" t="s">
        <v>804</v>
      </c>
      <c r="D548" t="s">
        <v>870</v>
      </c>
      <c r="F548" s="2" t="s">
        <v>255</v>
      </c>
    </row>
    <row r="549" spans="1:6" ht="16" x14ac:dyDescent="0.2">
      <c r="A549" s="6" t="str">
        <f t="shared" si="19"/>
        <v>PRODUCT</v>
      </c>
      <c r="B549" s="6" t="s">
        <v>619</v>
      </c>
      <c r="C549" t="s">
        <v>805</v>
      </c>
      <c r="D549" t="s">
        <v>871</v>
      </c>
      <c r="F549" s="2" t="s">
        <v>255</v>
      </c>
    </row>
    <row r="550" spans="1:6" ht="16" x14ac:dyDescent="0.2">
      <c r="A550" s="6" t="str">
        <f t="shared" si="19"/>
        <v>PRODUCT</v>
      </c>
      <c r="B550" s="6" t="s">
        <v>619</v>
      </c>
      <c r="C550" t="s">
        <v>806</v>
      </c>
      <c r="D550" t="s">
        <v>872</v>
      </c>
      <c r="F550" s="2" t="s">
        <v>255</v>
      </c>
    </row>
    <row r="551" spans="1:6" ht="16" x14ac:dyDescent="0.2">
      <c r="A551" s="6" t="str">
        <f t="shared" si="19"/>
        <v>PRODUCT</v>
      </c>
      <c r="B551" s="6" t="s">
        <v>619</v>
      </c>
      <c r="C551" t="s">
        <v>807</v>
      </c>
      <c r="D551" t="s">
        <v>873</v>
      </c>
      <c r="F551" s="2" t="s">
        <v>255</v>
      </c>
    </row>
    <row r="552" spans="1:6" ht="16" x14ac:dyDescent="0.2">
      <c r="A552" s="6" t="str">
        <f t="shared" si="19"/>
        <v>PRODUCT</v>
      </c>
      <c r="B552" s="6" t="s">
        <v>619</v>
      </c>
      <c r="C552" t="s">
        <v>808</v>
      </c>
      <c r="D552" t="s">
        <v>874</v>
      </c>
      <c r="F552" s="2" t="s">
        <v>255</v>
      </c>
    </row>
    <row r="553" spans="1:6" ht="16" x14ac:dyDescent="0.2">
      <c r="A553" s="6" t="str">
        <f t="shared" si="19"/>
        <v>PRODUCT</v>
      </c>
      <c r="B553" s="6" t="s">
        <v>619</v>
      </c>
      <c r="C553" t="s">
        <v>809</v>
      </c>
      <c r="D553" t="s">
        <v>875</v>
      </c>
      <c r="F553" s="2" t="s">
        <v>255</v>
      </c>
    </row>
    <row r="554" spans="1:6" ht="16" x14ac:dyDescent="0.2">
      <c r="A554" s="6" t="str">
        <f t="shared" si="19"/>
        <v>PRODUCT</v>
      </c>
      <c r="B554" s="6" t="s">
        <v>619</v>
      </c>
      <c r="C554" t="s">
        <v>810</v>
      </c>
      <c r="D554" t="s">
        <v>876</v>
      </c>
      <c r="F554" s="2" t="s">
        <v>255</v>
      </c>
    </row>
    <row r="555" spans="1:6" ht="16" x14ac:dyDescent="0.2">
      <c r="A555" s="6" t="str">
        <f t="shared" si="19"/>
        <v>PRODUCT</v>
      </c>
      <c r="B555" s="6" t="s">
        <v>619</v>
      </c>
      <c r="C555" t="s">
        <v>811</v>
      </c>
      <c r="D555" t="s">
        <v>877</v>
      </c>
      <c r="F555" s="2" t="s">
        <v>255</v>
      </c>
    </row>
    <row r="556" spans="1:6" ht="16" x14ac:dyDescent="0.2">
      <c r="A556" s="6" t="str">
        <f t="shared" si="19"/>
        <v>PRODUCT</v>
      </c>
      <c r="B556" s="6" t="s">
        <v>619</v>
      </c>
      <c r="C556" t="s">
        <v>812</v>
      </c>
      <c r="D556" t="s">
        <v>878</v>
      </c>
      <c r="F556" s="2" t="s">
        <v>255</v>
      </c>
    </row>
    <row r="557" spans="1:6" ht="16" x14ac:dyDescent="0.2">
      <c r="A557" s="6" t="str">
        <f t="shared" si="19"/>
        <v>PRODUCT</v>
      </c>
      <c r="B557" s="6" t="s">
        <v>619</v>
      </c>
      <c r="C557" t="s">
        <v>813</v>
      </c>
      <c r="D557" t="s">
        <v>879</v>
      </c>
      <c r="F557" s="2" t="s">
        <v>255</v>
      </c>
    </row>
    <row r="558" spans="1:6" ht="16" x14ac:dyDescent="0.2">
      <c r="A558" s="6" t="str">
        <f t="shared" si="19"/>
        <v>PRODUCT</v>
      </c>
      <c r="B558" s="6" t="s">
        <v>619</v>
      </c>
      <c r="C558" t="s">
        <v>814</v>
      </c>
      <c r="D558" t="s">
        <v>880</v>
      </c>
      <c r="F558" s="2" t="s">
        <v>255</v>
      </c>
    </row>
    <row r="559" spans="1:6" ht="16" x14ac:dyDescent="0.2">
      <c r="A559" s="6" t="str">
        <f t="shared" si="19"/>
        <v>PRODUCT</v>
      </c>
      <c r="B559" s="6" t="s">
        <v>619</v>
      </c>
      <c r="C559" t="s">
        <v>815</v>
      </c>
      <c r="D559" t="s">
        <v>881</v>
      </c>
      <c r="F559" s="2" t="s">
        <v>255</v>
      </c>
    </row>
    <row r="560" spans="1:6" ht="16" x14ac:dyDescent="0.2">
      <c r="A560" s="6" t="str">
        <f t="shared" si="19"/>
        <v>PRODUCT</v>
      </c>
      <c r="B560" s="6" t="s">
        <v>619</v>
      </c>
      <c r="C560" t="s">
        <v>816</v>
      </c>
      <c r="D560" t="s">
        <v>882</v>
      </c>
      <c r="F560" s="2" t="s">
        <v>255</v>
      </c>
    </row>
    <row r="561" spans="1:6" ht="16" x14ac:dyDescent="0.2">
      <c r="A561" s="6" t="str">
        <f t="shared" si="19"/>
        <v>PRODUCT</v>
      </c>
      <c r="B561" s="6" t="s">
        <v>619</v>
      </c>
      <c r="C561" t="s">
        <v>817</v>
      </c>
      <c r="D561" t="s">
        <v>883</v>
      </c>
      <c r="F561" s="2" t="s">
        <v>255</v>
      </c>
    </row>
    <row r="562" spans="1:6" ht="16" x14ac:dyDescent="0.2">
      <c r="A562" s="6" t="str">
        <f t="shared" si="19"/>
        <v>PRODUCT</v>
      </c>
      <c r="B562" s="6" t="s">
        <v>619</v>
      </c>
      <c r="C562" t="s">
        <v>818</v>
      </c>
      <c r="D562" t="s">
        <v>884</v>
      </c>
      <c r="F562" s="2" t="s">
        <v>255</v>
      </c>
    </row>
    <row r="563" spans="1:6" ht="16" x14ac:dyDescent="0.2">
      <c r="A563" s="6" t="str">
        <f t="shared" si="19"/>
        <v>PRODUCT</v>
      </c>
      <c r="B563" s="6" t="s">
        <v>619</v>
      </c>
      <c r="C563" t="s">
        <v>819</v>
      </c>
      <c r="D563" t="s">
        <v>885</v>
      </c>
      <c r="F563" s="2" t="s">
        <v>255</v>
      </c>
    </row>
    <row r="564" spans="1:6" ht="16" x14ac:dyDescent="0.2">
      <c r="A564" s="6" t="str">
        <f t="shared" si="19"/>
        <v>PRODUCT</v>
      </c>
      <c r="B564" s="6" t="s">
        <v>619</v>
      </c>
      <c r="C564" t="s">
        <v>820</v>
      </c>
      <c r="D564" t="s">
        <v>886</v>
      </c>
      <c r="F564" s="2" t="s">
        <v>255</v>
      </c>
    </row>
    <row r="565" spans="1:6" ht="16" x14ac:dyDescent="0.2">
      <c r="A565" s="6" t="str">
        <f t="shared" si="19"/>
        <v>PRODUCT</v>
      </c>
      <c r="B565" s="6" t="s">
        <v>619</v>
      </c>
      <c r="C565" t="s">
        <v>821</v>
      </c>
      <c r="D565" t="s">
        <v>887</v>
      </c>
      <c r="F565" s="2" t="s">
        <v>255</v>
      </c>
    </row>
    <row r="566" spans="1:6" ht="16" x14ac:dyDescent="0.2">
      <c r="A566" s="6" t="str">
        <f t="shared" si="19"/>
        <v>PRODUCT</v>
      </c>
      <c r="B566" s="6" t="s">
        <v>619</v>
      </c>
      <c r="C566" t="s">
        <v>822</v>
      </c>
      <c r="D566" t="s">
        <v>888</v>
      </c>
      <c r="F566" s="2" t="s">
        <v>255</v>
      </c>
    </row>
    <row r="567" spans="1:6" ht="16" x14ac:dyDescent="0.2">
      <c r="A567" s="6" t="str">
        <f t="shared" si="19"/>
        <v>PRODUCT</v>
      </c>
      <c r="B567" s="6" t="s">
        <v>619</v>
      </c>
      <c r="C567" t="s">
        <v>823</v>
      </c>
      <c r="D567" t="s">
        <v>889</v>
      </c>
      <c r="F567" s="2" t="s">
        <v>255</v>
      </c>
    </row>
    <row r="568" spans="1:6" ht="16" x14ac:dyDescent="0.2">
      <c r="A568" s="6" t="str">
        <f t="shared" si="19"/>
        <v>PRODUCT</v>
      </c>
      <c r="B568" s="6" t="s">
        <v>619</v>
      </c>
      <c r="C568" t="s">
        <v>824</v>
      </c>
      <c r="D568" t="s">
        <v>890</v>
      </c>
      <c r="F568" s="2" t="s">
        <v>255</v>
      </c>
    </row>
    <row r="569" spans="1:6" ht="16" x14ac:dyDescent="0.2">
      <c r="A569" s="6" t="str">
        <f t="shared" si="19"/>
        <v>PRODUCT</v>
      </c>
      <c r="B569" s="6" t="s">
        <v>619</v>
      </c>
      <c r="C569" t="s">
        <v>825</v>
      </c>
      <c r="D569" t="s">
        <v>891</v>
      </c>
      <c r="F569" s="2" t="s">
        <v>255</v>
      </c>
    </row>
    <row r="570" spans="1:6" ht="16" x14ac:dyDescent="0.2">
      <c r="A570" s="6" t="str">
        <f t="shared" si="19"/>
        <v>PRODUCT</v>
      </c>
      <c r="B570" s="6" t="s">
        <v>619</v>
      </c>
      <c r="C570" t="s">
        <v>826</v>
      </c>
      <c r="D570" t="s">
        <v>892</v>
      </c>
      <c r="F570" s="2" t="s">
        <v>255</v>
      </c>
    </row>
    <row r="571" spans="1:6" ht="16" x14ac:dyDescent="0.2">
      <c r="A571" s="6" t="str">
        <f t="shared" si="19"/>
        <v>PRODUCT</v>
      </c>
      <c r="B571" s="6" t="s">
        <v>619</v>
      </c>
      <c r="C571" t="s">
        <v>827</v>
      </c>
      <c r="D571" t="s">
        <v>893</v>
      </c>
      <c r="F571" s="2" t="s">
        <v>255</v>
      </c>
    </row>
    <row r="572" spans="1:6" ht="16" x14ac:dyDescent="0.2">
      <c r="A572" s="6" t="str">
        <f t="shared" ref="A572:A579" si="20">IF(C570&lt;&gt;"","PRODUCT","")</f>
        <v>PRODUCT</v>
      </c>
      <c r="B572" s="6" t="s">
        <v>619</v>
      </c>
      <c r="C572" t="s">
        <v>828</v>
      </c>
      <c r="D572" t="s">
        <v>894</v>
      </c>
      <c r="F572" s="2" t="s">
        <v>255</v>
      </c>
    </row>
    <row r="573" spans="1:6" ht="16" x14ac:dyDescent="0.2">
      <c r="A573" s="6" t="str">
        <f t="shared" si="20"/>
        <v>PRODUCT</v>
      </c>
      <c r="B573" s="6" t="s">
        <v>619</v>
      </c>
      <c r="C573" t="s">
        <v>829</v>
      </c>
      <c r="D573" t="s">
        <v>895</v>
      </c>
      <c r="F573" s="2" t="s">
        <v>255</v>
      </c>
    </row>
    <row r="574" spans="1:6" ht="16" x14ac:dyDescent="0.2">
      <c r="A574" s="6" t="str">
        <f t="shared" si="20"/>
        <v>PRODUCT</v>
      </c>
      <c r="B574" s="6" t="s">
        <v>619</v>
      </c>
      <c r="C574" t="s">
        <v>830</v>
      </c>
      <c r="D574" t="s">
        <v>896</v>
      </c>
      <c r="F574" s="2" t="s">
        <v>255</v>
      </c>
    </row>
    <row r="575" spans="1:6" ht="16" x14ac:dyDescent="0.2">
      <c r="A575" s="6" t="str">
        <f t="shared" si="20"/>
        <v>PRODUCT</v>
      </c>
      <c r="B575" s="6" t="s">
        <v>619</v>
      </c>
      <c r="C575" t="s">
        <v>831</v>
      </c>
      <c r="D575" t="s">
        <v>897</v>
      </c>
      <c r="F575" s="2" t="s">
        <v>255</v>
      </c>
    </row>
    <row r="576" spans="1:6" ht="16" x14ac:dyDescent="0.2">
      <c r="A576" s="6" t="str">
        <f t="shared" si="20"/>
        <v>PRODUCT</v>
      </c>
      <c r="B576" s="6" t="s">
        <v>619</v>
      </c>
      <c r="C576" t="s">
        <v>832</v>
      </c>
      <c r="D576" t="s">
        <v>898</v>
      </c>
      <c r="F576" s="2" t="s">
        <v>255</v>
      </c>
    </row>
    <row r="577" spans="1:6" ht="16" x14ac:dyDescent="0.2">
      <c r="A577" s="6" t="str">
        <f t="shared" si="20"/>
        <v>PRODUCT</v>
      </c>
      <c r="B577" s="6" t="s">
        <v>619</v>
      </c>
      <c r="C577" t="s">
        <v>833</v>
      </c>
      <c r="D577" t="s">
        <v>899</v>
      </c>
      <c r="F577" s="2" t="s">
        <v>255</v>
      </c>
    </row>
    <row r="578" spans="1:6" ht="16" x14ac:dyDescent="0.2">
      <c r="A578" s="6" t="str">
        <f t="shared" si="20"/>
        <v>PRODUCT</v>
      </c>
      <c r="B578" s="6" t="s">
        <v>619</v>
      </c>
      <c r="C578" t="s">
        <v>834</v>
      </c>
      <c r="D578" t="s">
        <v>900</v>
      </c>
      <c r="F578" s="2" t="s">
        <v>255</v>
      </c>
    </row>
    <row r="579" spans="1:6" ht="16" x14ac:dyDescent="0.2">
      <c r="A579" s="6" t="str">
        <f t="shared" si="20"/>
        <v>PRODUCT</v>
      </c>
      <c r="B579" s="6" t="s">
        <v>619</v>
      </c>
      <c r="C579" t="s">
        <v>835</v>
      </c>
      <c r="D579" t="s">
        <v>901</v>
      </c>
      <c r="F579" s="2" t="s">
        <v>255</v>
      </c>
    </row>
  </sheetData>
  <protectedRanges>
    <protectedRange algorithmName="SHA-512" hashValue="+NRvmf4+TGwIArvNR5nOyaPjpGxYVJk7oz27MJK1FccuXnsDyeLQKdclN/47Tw0rzOQjhKs406uzIlXQGj8flw==" saltValue="p1X2NPwrXtLgLl9bXZ01SA==" spinCount="100000" sqref="E1:E1048576" name="enum_convert"/>
  </protectedRanges>
  <sortState xmlns:xlrd2="http://schemas.microsoft.com/office/spreadsheetml/2017/richdata2" ref="A2:F579">
    <sortCondition descending="1" ref="B413:B579"/>
  </sortState>
  <dataValidations count="1">
    <dataValidation type="textLength" errorStyle="warning" operator="lessThan" allowBlank="1" showInputMessage="1" showErrorMessage="1" errorTitle="Exceeds Max Length" error="Enumeration Exceeds maximum allowable length." sqref="E2:E31" xr:uid="{A9050BAB-2BBB-4A26-A9C0-5C4479F23B5F}">
      <formula1>240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6CAF956-0B58-4ED7-BC76-D52C006A0A60}">
          <x14:formula1>
            <xm:f>contype!$AD$2:$AD$4</xm:f>
          </x14:formula1>
          <xm:sqref>F2:F579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4AE4-DCB3-4BE4-B8F8-B8A6182AF03A}">
  <sheetPr codeName="Sheet12"/>
  <dimension ref="A1:F6"/>
  <sheetViews>
    <sheetView workbookViewId="0">
      <selection activeCell="A2" sqref="A2:XFD2"/>
    </sheetView>
  </sheetViews>
  <sheetFormatPr baseColWidth="10" defaultColWidth="8.83203125" defaultRowHeight="15" x14ac:dyDescent="0.2"/>
  <cols>
    <col min="1" max="2" width="23.1640625" customWidth="1"/>
    <col min="3" max="3" width="12.83203125" customWidth="1"/>
    <col min="4" max="4" width="11.5" customWidth="1"/>
    <col min="5" max="5" width="51.5" customWidth="1"/>
    <col min="6" max="6" width="24" customWidth="1"/>
  </cols>
  <sheetData>
    <row r="1" spans="1:6" x14ac:dyDescent="0.2">
      <c r="A1" s="63" t="s">
        <v>189</v>
      </c>
      <c r="B1" s="63" t="s">
        <v>251</v>
      </c>
      <c r="C1" s="63" t="s">
        <v>0</v>
      </c>
      <c r="D1" s="63" t="s">
        <v>194</v>
      </c>
      <c r="E1" s="63" t="s">
        <v>252</v>
      </c>
      <c r="F1" s="63" t="s">
        <v>253</v>
      </c>
    </row>
    <row r="2" spans="1:6" ht="22" customHeight="1" x14ac:dyDescent="0.2">
      <c r="A2" s="67"/>
      <c r="B2" s="67"/>
    </row>
    <row r="3" spans="1:6" ht="22" customHeight="1" x14ac:dyDescent="0.2"/>
    <row r="4" spans="1:6" ht="22" customHeight="1" x14ac:dyDescent="0.2"/>
    <row r="5" spans="1:6" ht="22" customHeight="1" x14ac:dyDescent="0.2"/>
    <row r="6" spans="1:6" ht="22" customHeight="1" x14ac:dyDescent="0.2"/>
  </sheetData>
  <dataValidations count="1">
    <dataValidation allowBlank="1" showInputMessage="1" showErrorMessage="1" prompt="Defaults to FALSE.  Determines whether the datatype as a whole is nullable. " sqref="D1" xr:uid="{09E9FF55-9D9E-4D9A-878B-A38D6707041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6158FB3-8521-43A6-AB2F-B7F9EB614BE7}">
          <x14:formula1>
            <xm:f>contype!$AD$2:$AD$3</xm:f>
          </x14:formula1>
          <xm:sqref>F2</xm:sqref>
        </x14:dataValidation>
        <x14:dataValidation type="list" allowBlank="1" showInputMessage="1" showErrorMessage="1" xr:uid="{E69A05A8-8422-407F-B552-18BF59D8C968}">
          <x14:formula1>
            <xm:f>contype!$L$2:$L$3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8ACE9-46DD-4CA9-8666-5071F3238838}">
  <sheetPr codeName="Sheet15"/>
  <dimension ref="A1:G68"/>
  <sheetViews>
    <sheetView workbookViewId="0">
      <selection activeCell="B5" sqref="B5"/>
    </sheetView>
  </sheetViews>
  <sheetFormatPr baseColWidth="10" defaultColWidth="8.83203125" defaultRowHeight="15" x14ac:dyDescent="0.2"/>
  <cols>
    <col min="1" max="1" width="23.1640625" customWidth="1"/>
    <col min="2" max="2" width="18" customWidth="1"/>
    <col min="3" max="3" width="30.5" customWidth="1"/>
    <col min="4" max="4" width="11.5" customWidth="1"/>
    <col min="5" max="5" width="12.1640625" customWidth="1"/>
    <col min="6" max="6" width="12.6640625" customWidth="1"/>
    <col min="7" max="7" width="24" customWidth="1"/>
  </cols>
  <sheetData>
    <row r="1" spans="1:7" x14ac:dyDescent="0.2">
      <c r="A1" s="63" t="s">
        <v>189</v>
      </c>
      <c r="B1" s="63" t="s">
        <v>190</v>
      </c>
      <c r="C1" s="63" t="s">
        <v>191</v>
      </c>
      <c r="D1" s="63" t="s">
        <v>194</v>
      </c>
      <c r="E1" s="63" t="s">
        <v>192</v>
      </c>
      <c r="F1" s="63" t="s">
        <v>193</v>
      </c>
      <c r="G1" s="63" t="s">
        <v>253</v>
      </c>
    </row>
    <row r="2" spans="1:7" ht="22" customHeight="1" x14ac:dyDescent="0.2">
      <c r="A2" s="67"/>
      <c r="C2" s="50"/>
    </row>
    <row r="3" spans="1:7" ht="22" customHeight="1" x14ac:dyDescent="0.2">
      <c r="C3" s="50"/>
    </row>
    <row r="4" spans="1:7" ht="22" customHeight="1" x14ac:dyDescent="0.2">
      <c r="C4" s="50"/>
    </row>
    <row r="5" spans="1:7" ht="22" customHeight="1" x14ac:dyDescent="0.2">
      <c r="C5" s="50"/>
    </row>
    <row r="6" spans="1:7" ht="22" customHeight="1" x14ac:dyDescent="0.2">
      <c r="C6" s="50"/>
    </row>
    <row r="11" spans="1:7" x14ac:dyDescent="0.2">
      <c r="A11" s="166" t="s">
        <v>70</v>
      </c>
      <c r="B11" s="167"/>
    </row>
    <row r="12" spans="1:7" x14ac:dyDescent="0.2">
      <c r="A12" s="168"/>
      <c r="B12" s="169"/>
    </row>
    <row r="13" spans="1:7" x14ac:dyDescent="0.2">
      <c r="A13" s="164"/>
      <c r="B13" s="165"/>
    </row>
    <row r="14" spans="1:7" x14ac:dyDescent="0.2">
      <c r="A14" s="164"/>
      <c r="B14" s="165"/>
    </row>
    <row r="15" spans="1:7" x14ac:dyDescent="0.2">
      <c r="A15" s="164"/>
      <c r="B15" s="165"/>
    </row>
    <row r="16" spans="1:7" x14ac:dyDescent="0.2">
      <c r="A16" s="164"/>
      <c r="B16" s="165"/>
    </row>
    <row r="17" spans="1:2" x14ac:dyDescent="0.2">
      <c r="A17" s="164"/>
      <c r="B17" s="165"/>
    </row>
    <row r="18" spans="1:2" x14ac:dyDescent="0.2">
      <c r="A18" s="164"/>
      <c r="B18" s="165"/>
    </row>
    <row r="19" spans="1:2" x14ac:dyDescent="0.2">
      <c r="A19" s="164"/>
      <c r="B19" s="165"/>
    </row>
    <row r="20" spans="1:2" x14ac:dyDescent="0.2">
      <c r="A20" s="164"/>
      <c r="B20" s="165"/>
    </row>
    <row r="21" spans="1:2" x14ac:dyDescent="0.2">
      <c r="A21" s="164"/>
      <c r="B21" s="165"/>
    </row>
    <row r="22" spans="1:2" x14ac:dyDescent="0.2">
      <c r="A22" s="164"/>
      <c r="B22" s="165"/>
    </row>
    <row r="23" spans="1:2" x14ac:dyDescent="0.2">
      <c r="A23" s="164"/>
      <c r="B23" s="165"/>
    </row>
    <row r="24" spans="1:2" x14ac:dyDescent="0.2">
      <c r="A24" s="164"/>
      <c r="B24" s="165"/>
    </row>
    <row r="25" spans="1:2" x14ac:dyDescent="0.2">
      <c r="A25" s="164"/>
      <c r="B25" s="165"/>
    </row>
    <row r="26" spans="1:2" x14ac:dyDescent="0.2">
      <c r="A26" s="164"/>
      <c r="B26" s="165"/>
    </row>
    <row r="27" spans="1:2" ht="155" customHeight="1" x14ac:dyDescent="0.2">
      <c r="A27" s="164"/>
      <c r="B27" s="165"/>
    </row>
    <row r="28" spans="1:2" ht="7" customHeight="1" x14ac:dyDescent="0.2">
      <c r="A28" s="164"/>
      <c r="B28" s="165"/>
    </row>
    <row r="29" spans="1:2" x14ac:dyDescent="0.2">
      <c r="A29" s="164"/>
      <c r="B29" s="165"/>
    </row>
    <row r="30" spans="1:2" x14ac:dyDescent="0.2">
      <c r="A30" s="164"/>
      <c r="B30" s="165"/>
    </row>
    <row r="31" spans="1:2" x14ac:dyDescent="0.2">
      <c r="A31" s="170"/>
      <c r="B31" s="171"/>
    </row>
    <row r="34" spans="1:2" x14ac:dyDescent="0.2">
      <c r="A34" s="166" t="s">
        <v>250</v>
      </c>
      <c r="B34" s="167"/>
    </row>
    <row r="35" spans="1:2" x14ac:dyDescent="0.2">
      <c r="A35" s="172"/>
      <c r="B35" s="163"/>
    </row>
    <row r="36" spans="1:2" x14ac:dyDescent="0.2">
      <c r="A36" s="164"/>
      <c r="B36" s="165"/>
    </row>
    <row r="37" spans="1:2" x14ac:dyDescent="0.2">
      <c r="A37" s="164"/>
      <c r="B37" s="165"/>
    </row>
    <row r="38" spans="1:2" x14ac:dyDescent="0.2">
      <c r="A38" s="164"/>
      <c r="B38" s="165"/>
    </row>
    <row r="39" spans="1:2" x14ac:dyDescent="0.2">
      <c r="A39" s="164"/>
      <c r="B39" s="165"/>
    </row>
    <row r="40" spans="1:2" x14ac:dyDescent="0.2">
      <c r="A40" s="164"/>
      <c r="B40" s="165"/>
    </row>
    <row r="41" spans="1:2" x14ac:dyDescent="0.2">
      <c r="A41" s="164"/>
      <c r="B41" s="165"/>
    </row>
    <row r="42" spans="1:2" x14ac:dyDescent="0.2">
      <c r="A42" s="164"/>
      <c r="B42" s="165"/>
    </row>
    <row r="43" spans="1:2" x14ac:dyDescent="0.2">
      <c r="A43" s="164"/>
      <c r="B43" s="165"/>
    </row>
    <row r="44" spans="1:2" x14ac:dyDescent="0.2">
      <c r="A44" s="164"/>
      <c r="B44" s="165"/>
    </row>
    <row r="45" spans="1:2" x14ac:dyDescent="0.2">
      <c r="A45" s="164"/>
      <c r="B45" s="165"/>
    </row>
    <row r="46" spans="1:2" x14ac:dyDescent="0.2">
      <c r="A46" s="164"/>
      <c r="B46" s="165"/>
    </row>
    <row r="47" spans="1:2" x14ac:dyDescent="0.2">
      <c r="A47" s="164"/>
      <c r="B47" s="165"/>
    </row>
    <row r="48" spans="1:2" x14ac:dyDescent="0.2">
      <c r="A48" s="164"/>
      <c r="B48" s="165"/>
    </row>
    <row r="49" spans="1:2" x14ac:dyDescent="0.2">
      <c r="A49" s="164"/>
      <c r="B49" s="165"/>
    </row>
    <row r="50" spans="1:2" x14ac:dyDescent="0.2">
      <c r="A50" s="164"/>
      <c r="B50" s="165"/>
    </row>
    <row r="51" spans="1:2" x14ac:dyDescent="0.2">
      <c r="A51" s="164"/>
      <c r="B51" s="165"/>
    </row>
    <row r="52" spans="1:2" x14ac:dyDescent="0.2">
      <c r="A52" s="164"/>
      <c r="B52" s="165"/>
    </row>
    <row r="53" spans="1:2" x14ac:dyDescent="0.2">
      <c r="A53" s="164"/>
      <c r="B53" s="165"/>
    </row>
    <row r="54" spans="1:2" x14ac:dyDescent="0.2">
      <c r="A54" s="164"/>
      <c r="B54" s="165"/>
    </row>
    <row r="55" spans="1:2" x14ac:dyDescent="0.2">
      <c r="A55" s="164"/>
      <c r="B55" s="165"/>
    </row>
    <row r="56" spans="1:2" x14ac:dyDescent="0.2">
      <c r="A56" s="164"/>
      <c r="B56" s="165"/>
    </row>
    <row r="57" spans="1:2" x14ac:dyDescent="0.2">
      <c r="A57" s="164"/>
      <c r="B57" s="165"/>
    </row>
    <row r="58" spans="1:2" x14ac:dyDescent="0.2">
      <c r="A58" s="164"/>
      <c r="B58" s="165"/>
    </row>
    <row r="59" spans="1:2" x14ac:dyDescent="0.2">
      <c r="A59" s="164"/>
      <c r="B59" s="165"/>
    </row>
    <row r="60" spans="1:2" x14ac:dyDescent="0.2">
      <c r="A60" s="164"/>
      <c r="B60" s="165"/>
    </row>
    <row r="61" spans="1:2" x14ac:dyDescent="0.2">
      <c r="A61" s="164"/>
      <c r="B61" s="165"/>
    </row>
    <row r="62" spans="1:2" x14ac:dyDescent="0.2">
      <c r="A62" s="164"/>
      <c r="B62" s="165"/>
    </row>
    <row r="63" spans="1:2" x14ac:dyDescent="0.2">
      <c r="A63" s="164"/>
      <c r="B63" s="165"/>
    </row>
    <row r="64" spans="1:2" x14ac:dyDescent="0.2">
      <c r="A64" s="164"/>
      <c r="B64" s="165"/>
    </row>
    <row r="65" spans="1:2" x14ac:dyDescent="0.2">
      <c r="A65" s="164"/>
      <c r="B65" s="165"/>
    </row>
    <row r="66" spans="1:2" x14ac:dyDescent="0.2">
      <c r="A66" s="164"/>
      <c r="B66" s="165"/>
    </row>
    <row r="67" spans="1:2" x14ac:dyDescent="0.2">
      <c r="A67" s="164"/>
      <c r="B67" s="165"/>
    </row>
    <row r="68" spans="1:2" x14ac:dyDescent="0.2">
      <c r="A68" s="170"/>
      <c r="B68" s="171"/>
    </row>
  </sheetData>
  <mergeCells count="4">
    <mergeCell ref="A11:B11"/>
    <mergeCell ref="A12:B31"/>
    <mergeCell ref="A34:B34"/>
    <mergeCell ref="A35:B68"/>
  </mergeCells>
  <dataValidations count="1">
    <dataValidation allowBlank="1" showInputMessage="1" showErrorMessage="1" promptTitle="SDL Requirement" prompt="In cases where more that one datatype is being created for an attribute, please enter SDL for datatypes. If only one datatype is being created, this is optional." sqref="A12:B31" xr:uid="{4FD63CDD-5227-404F-8A87-5937270119A7}"/>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36E51D9-0B83-4F7F-84A0-A61A77791D35}">
          <x14:formula1>
            <xm:f>contype!$AD$2:$AD$4</xm:f>
          </x14:formula1>
          <xm:sqref>G2</xm:sqref>
        </x14:dataValidation>
        <x14:dataValidation type="list" showInputMessage="1" showErrorMessage="1" xr:uid="{F4129516-B213-4E0E-A508-EB7042E57AFE}">
          <x14:formula1>
            <xm:f>contype!$AC$2:$AC$47</xm:f>
          </x14:formula1>
          <xm:sqref>C2</xm:sqref>
        </x14:dataValidation>
        <x14:dataValidation type="list" allowBlank="1" showInputMessage="1" showErrorMessage="1" xr:uid="{2D8CC4B6-04CE-49D0-97D0-EE4F337C4526}">
          <x14:formula1>
            <xm:f>contype!$AA$2:$AA$9</xm:f>
          </x14:formula1>
          <xm:sqref>C3:C4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7"/>
  <sheetViews>
    <sheetView workbookViewId="0">
      <selection activeCell="D5" sqref="D5"/>
    </sheetView>
  </sheetViews>
  <sheetFormatPr baseColWidth="10" defaultColWidth="8.83203125" defaultRowHeight="15" x14ac:dyDescent="0.2"/>
  <cols>
    <col min="1" max="1" width="25" customWidth="1"/>
    <col min="2" max="2" width="22.5" customWidth="1"/>
    <col min="3" max="3" width="34.5" customWidth="1"/>
    <col min="4" max="4" width="56.5" customWidth="1"/>
    <col min="5" max="5" width="17.83203125" customWidth="1"/>
  </cols>
  <sheetData>
    <row r="1" spans="1:5" x14ac:dyDescent="0.2">
      <c r="A1" s="173" t="s">
        <v>61</v>
      </c>
      <c r="B1" s="174"/>
      <c r="C1" s="174"/>
      <c r="D1" s="174"/>
      <c r="E1" s="175"/>
    </row>
    <row r="2" spans="1:5" ht="16" x14ac:dyDescent="0.2">
      <c r="A2" s="10" t="s">
        <v>62</v>
      </c>
      <c r="B2" s="10" t="s">
        <v>63</v>
      </c>
      <c r="C2" s="10" t="s">
        <v>64</v>
      </c>
      <c r="D2" s="11" t="s">
        <v>65</v>
      </c>
      <c r="E2" s="10" t="s">
        <v>254</v>
      </c>
    </row>
    <row r="3" spans="1:5" ht="32" x14ac:dyDescent="0.2">
      <c r="A3" s="27" t="str">
        <f>+IF(Attribute!$C$4="Component Attribute",subattribute!$B$3,Attribute!$C$13)</f>
        <v>[minimum_required_operating_system_version]</v>
      </c>
      <c r="B3" s="27" t="s">
        <v>55</v>
      </c>
      <c r="C3" s="27" t="s">
        <v>66</v>
      </c>
      <c r="D3" s="27" t="str">
        <f>IF(Attribute!$C$17&lt;&gt;"Not Applicable",Enumeration!$D$2,"Windows 11")</f>
        <v>Windows 11</v>
      </c>
      <c r="E3" s="35" t="s">
        <v>255</v>
      </c>
    </row>
    <row r="4" spans="1:5" ht="38.25" customHeight="1" x14ac:dyDescent="0.2">
      <c r="A4" s="27" t="str">
        <f>+IF(Attribute!$C$4="Component Attribute",subattribute!$B$3,Attribute!$C$13)</f>
        <v>[minimum_required_operating_system_version]</v>
      </c>
      <c r="B4" s="27" t="s">
        <v>55</v>
      </c>
      <c r="C4" s="27" t="s">
        <v>67</v>
      </c>
      <c r="D4" s="27" t="s">
        <v>623</v>
      </c>
      <c r="E4" s="35" t="s">
        <v>255</v>
      </c>
    </row>
    <row r="5" spans="1:5" ht="41" customHeight="1" x14ac:dyDescent="0.2">
      <c r="A5" s="27" t="str">
        <f>+IF(Attribute!$C$4="Component Attribute",subattribute!$B$3,Attribute!$C$13)</f>
        <v>[minimum_required_operating_system_version]</v>
      </c>
      <c r="B5" s="27" t="s">
        <v>55</v>
      </c>
      <c r="C5" s="27" t="s">
        <v>68</v>
      </c>
      <c r="D5" s="48" t="s">
        <v>903</v>
      </c>
      <c r="E5" s="35" t="s">
        <v>255</v>
      </c>
    </row>
    <row r="6" spans="1:5" ht="55" customHeight="1" x14ac:dyDescent="0.2">
      <c r="A6" s="27" t="str">
        <f>+IF(Attribute!$C$4="Component Attribute",subattribute!$B$3,Attribute!$C$13)</f>
        <v>[minimum_required_operating_system_version]</v>
      </c>
      <c r="B6" s="27" t="s">
        <v>55</v>
      </c>
      <c r="C6" s="27" t="s">
        <v>69</v>
      </c>
      <c r="D6" s="27" t="s">
        <v>905</v>
      </c>
      <c r="E6" s="35" t="s">
        <v>255</v>
      </c>
    </row>
    <row r="7" spans="1:5" ht="25.5" customHeight="1" x14ac:dyDescent="0.2">
      <c r="A7" s="27" t="str">
        <f>+IF(Attribute!$C$4="Component Attribute",subattribute!$B$3,Attribute!$C$13)</f>
        <v>[minimum_required_operating_system_version]</v>
      </c>
      <c r="B7" s="33" t="s">
        <v>59</v>
      </c>
      <c r="C7" s="33" t="s">
        <v>66</v>
      </c>
      <c r="D7" s="27" t="str">
        <f>IF(Attribute!$C$17&lt;&gt;"Not Applicable",Enumeration!$D$2,"Windows 11")</f>
        <v>Windows 11</v>
      </c>
      <c r="E7" s="35" t="s">
        <v>255</v>
      </c>
    </row>
    <row r="8" spans="1:5" ht="25.5" customHeight="1" x14ac:dyDescent="0.2">
      <c r="A8" s="27" t="str">
        <f>+IF(Attribute!$C$4="Component Attribute",subattribute!$B$3,Attribute!$C$13)</f>
        <v>[minimum_required_operating_system_version]</v>
      </c>
      <c r="B8" s="33" t="s">
        <v>59</v>
      </c>
      <c r="C8" s="33" t="s">
        <v>67</v>
      </c>
      <c r="D8" s="27" t="s">
        <v>623</v>
      </c>
      <c r="E8" s="35" t="s">
        <v>255</v>
      </c>
    </row>
    <row r="9" spans="1:5" ht="45.5" customHeight="1" x14ac:dyDescent="0.2">
      <c r="A9" s="27" t="str">
        <f>+IF(Attribute!$C$4="Component Attribute",subattribute!$B$3,Attribute!$C$13)</f>
        <v>[minimum_required_operating_system_version]</v>
      </c>
      <c r="B9" s="33" t="s">
        <v>59</v>
      </c>
      <c r="C9" s="33" t="s">
        <v>68</v>
      </c>
      <c r="D9" s="36" t="str">
        <f>+D5</f>
        <v>Provide the minimum operating system version that the base product must have for the accessory product to function properly.</v>
      </c>
      <c r="E9" s="35" t="s">
        <v>255</v>
      </c>
    </row>
    <row r="10" spans="1:5" ht="26.5" customHeight="1" x14ac:dyDescent="0.2">
      <c r="A10" s="33"/>
      <c r="B10" s="33"/>
      <c r="C10" s="33"/>
      <c r="D10" s="36"/>
      <c r="E10" s="35"/>
    </row>
    <row r="11" spans="1:5" ht="20.5" customHeight="1" x14ac:dyDescent="0.2">
      <c r="A11" s="33"/>
      <c r="B11" s="33"/>
      <c r="C11" s="33"/>
      <c r="D11" s="36"/>
      <c r="E11" s="35"/>
    </row>
    <row r="12" spans="1:5" ht="22.5" customHeight="1" x14ac:dyDescent="0.2">
      <c r="A12" s="33"/>
      <c r="B12" s="33"/>
      <c r="C12" s="33"/>
      <c r="D12" s="36"/>
      <c r="E12" s="35"/>
    </row>
    <row r="13" spans="1:5" x14ac:dyDescent="0.2">
      <c r="A13" s="33"/>
      <c r="B13" s="33"/>
      <c r="C13" s="33"/>
      <c r="D13" s="36"/>
      <c r="E13" s="35"/>
    </row>
    <row r="17" spans="1:1" x14ac:dyDescent="0.2">
      <c r="A17" s="66"/>
    </row>
  </sheetData>
  <mergeCells count="1">
    <mergeCell ref="A1:E1"/>
  </mergeCells>
  <conditionalFormatting sqref="A3">
    <cfRule type="expression" dxfId="70" priority="43">
      <formula>IF($C$3="New Datatype","N",IF($C$3="Change Datatype","N","&lt;Fill In&gt;"))</formula>
    </cfRule>
  </conditionalFormatting>
  <conditionalFormatting sqref="B3">
    <cfRule type="expression" dxfId="69" priority="41">
      <formula>IF($C$3="New Datatype","N",IF($C$3="Change Datatype","N","&lt;Fill In&gt;"))</formula>
    </cfRule>
  </conditionalFormatting>
  <conditionalFormatting sqref="C3">
    <cfRule type="expression" dxfId="68" priority="39">
      <formula>IF($C$3="New Datatype","N",IF($C$3="Change Datatype","N","&lt;Fill In&gt;"))</formula>
    </cfRule>
  </conditionalFormatting>
  <conditionalFormatting sqref="B4">
    <cfRule type="expression" dxfId="67" priority="33">
      <formula>IF($C$3="New Datatype","N",IF($C$3="Change Datatype","N","&lt;Fill In&gt;"))</formula>
    </cfRule>
  </conditionalFormatting>
  <conditionalFormatting sqref="C4">
    <cfRule type="expression" dxfId="66" priority="31">
      <formula>IF($C$3="New Datatype","N",IF($C$3="Change Datatype","N","&lt;Fill In&gt;"))</formula>
    </cfRule>
  </conditionalFormatting>
  <conditionalFormatting sqref="D4">
    <cfRule type="expression" dxfId="65" priority="29">
      <formula>IF($C$3="New Datatype","N",IF($C$3="Change Datatype","N","&lt;Fill In&gt;"))</formula>
    </cfRule>
  </conditionalFormatting>
  <conditionalFormatting sqref="B5">
    <cfRule type="expression" dxfId="64" priority="25">
      <formula>IF($C$3="New Datatype","N",IF($C$3="Change Datatype","N","&lt;Fill In&gt;"))</formula>
    </cfRule>
  </conditionalFormatting>
  <conditionalFormatting sqref="C5">
    <cfRule type="expression" dxfId="63" priority="23">
      <formula>IF($C$3="New Datatype","N",IF($C$3="Change Datatype","N","&lt;Fill In&gt;"))</formula>
    </cfRule>
  </conditionalFormatting>
  <conditionalFormatting sqref="B6">
    <cfRule type="expression" dxfId="62" priority="17">
      <formula>IF($C$3="New Datatype","N",IF($C$3="Change Datatype","N","&lt;Fill In&gt;"))</formula>
    </cfRule>
  </conditionalFormatting>
  <conditionalFormatting sqref="C6">
    <cfRule type="expression" dxfId="61" priority="15">
      <formula>IF($C$3="New Datatype","N",IF($C$3="Change Datatype","N","&lt;Fill In&gt;"))</formula>
    </cfRule>
  </conditionalFormatting>
  <conditionalFormatting sqref="D6">
    <cfRule type="expression" dxfId="60" priority="13">
      <formula>IF($C$3="New Datatype","N",IF($C$3="Change Datatype","N","&lt;Fill In&gt;"))</formula>
    </cfRule>
  </conditionalFormatting>
  <conditionalFormatting sqref="D5">
    <cfRule type="expression" dxfId="59" priority="10">
      <formula>IF($C$3="New Datatype","N",IF($C$3="Change Datatype","N","&lt;Fill In&gt;"))</formula>
    </cfRule>
  </conditionalFormatting>
  <conditionalFormatting sqref="A4:A9">
    <cfRule type="expression" dxfId="58" priority="8">
      <formula>IF($C$3="New Datatype","N",IF($C$3="Change Datatype","N","&lt;Fill In&gt;"))</formula>
    </cfRule>
  </conditionalFormatting>
  <conditionalFormatting sqref="D3">
    <cfRule type="expression" dxfId="57" priority="4">
      <formula>IF($C$3="New Datatype","N",IF($C$3="Change Datatype","N","&lt;Fill In&gt;"))</formula>
    </cfRule>
  </conditionalFormatting>
  <conditionalFormatting sqref="D8">
    <cfRule type="expression" dxfId="56" priority="3">
      <formula>IF($C$3="New Datatype","N",IF($C$3="Change Datatype","N","&lt;Fill In&gt;"))</formula>
    </cfRule>
  </conditionalFormatting>
  <conditionalFormatting sqref="D7">
    <cfRule type="expression" dxfId="55" priority="1">
      <formula>IF($C$3="New Datatype","N",IF($C$3="Change Datatype","N","&lt;Fill In&gt;"))</formula>
    </cfRule>
  </conditionalFormatting>
  <dataValidations count="5">
    <dataValidation type="textLength" errorStyle="warning" operator="lessThan" allowBlank="1" showInputMessage="1" showErrorMessage="1" errorTitle="Exceeds Maximum Length" error="The short description exceeds the maximum length visible in the tool tip." sqref="D13" xr:uid="{22A790EF-05C3-4FC4-88E8-335F98B62040}">
      <formula1>165</formula1>
    </dataValidation>
    <dataValidation allowBlank="1" showInputMessage="1" showErrorMessage="1" prompt="Long descriptions should begin with the attribute name to allow for out of context understanding and use &quot;item&quot;." sqref="D6" xr:uid="{3DD25858-EA5B-4A88-9053-C13608BE2518}"/>
    <dataValidation type="textLength" errorStyle="warning" operator="lessThan" allowBlank="1" showInputMessage="1" showErrorMessage="1" errorTitle="Exceeds Maximum Length" error="The short description exceeds the maximum length visible in the tool tip." prompt="Short description * and value Variant paths should be the same" sqref="D10:D12" xr:uid="{EFE86041-87A3-4B74-8FD2-24447C51C15B}">
      <formula1>165</formula1>
    </dataValidation>
    <dataValidation type="textLength" errorStyle="warning" allowBlank="1" showInputMessage="1" showErrorMessage="1" error="It is a best practice that the Short Description should not be longer than 140 characters." prompt="Short descriptions should begin with &quot;Provide&quot;, use &quot;item&quot;, and be 140 characters or less." sqref="D5" xr:uid="{8267D5B4-9E2C-485F-A8D1-CC8F058CDBAD}">
      <formula1>1</formula1>
      <formula2>140</formula2>
    </dataValidation>
    <dataValidation type="custom" errorStyle="warning" operator="lessThan" allowBlank="1" showInputMessage="1" showErrorMessage="1" errorTitle="Exceeds Maximum Length" error="Short Description for value must equal short description for attribute (*)" prompt="Short description * and value Variant paths should be the same" sqref="D9" xr:uid="{2733D50B-DFF8-4E4E-8388-0E00835326D0}">
      <formula1>D9=D5</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2" id="{7B90835B-B60C-43B6-AF9C-FEDF71D20BDC}">
            <xm:f>contype!$M$3="N"</xm:f>
            <x14:dxf>
              <fill>
                <patternFill>
                  <bgColor theme="1"/>
                </patternFill>
              </fill>
            </x14:dxf>
          </x14:cfRule>
          <xm:sqref>A3</xm:sqref>
        </x14:conditionalFormatting>
        <x14:conditionalFormatting xmlns:xm="http://schemas.microsoft.com/office/excel/2006/main">
          <x14:cfRule type="expression" priority="40" id="{1F1C9437-674B-4A52-B7D2-09A19D389045}">
            <xm:f>contype!$M$3="N"</xm:f>
            <x14:dxf>
              <fill>
                <patternFill>
                  <bgColor theme="1"/>
                </patternFill>
              </fill>
            </x14:dxf>
          </x14:cfRule>
          <xm:sqref>B3</xm:sqref>
        </x14:conditionalFormatting>
        <x14:conditionalFormatting xmlns:xm="http://schemas.microsoft.com/office/excel/2006/main">
          <x14:cfRule type="expression" priority="38" id="{57757DA2-8596-4FFB-A9F1-67C927A1F87A}">
            <xm:f>contype!$M$3="N"</xm:f>
            <x14:dxf>
              <fill>
                <patternFill>
                  <bgColor theme="1"/>
                </patternFill>
              </fill>
            </x14:dxf>
          </x14:cfRule>
          <xm:sqref>C3</xm:sqref>
        </x14:conditionalFormatting>
        <x14:conditionalFormatting xmlns:xm="http://schemas.microsoft.com/office/excel/2006/main">
          <x14:cfRule type="expression" priority="32" id="{202FD91E-A416-48CF-B1E7-44D4805B3752}">
            <xm:f>contype!$M$3="N"</xm:f>
            <x14:dxf>
              <fill>
                <patternFill>
                  <bgColor theme="1"/>
                </patternFill>
              </fill>
            </x14:dxf>
          </x14:cfRule>
          <xm:sqref>B4</xm:sqref>
        </x14:conditionalFormatting>
        <x14:conditionalFormatting xmlns:xm="http://schemas.microsoft.com/office/excel/2006/main">
          <x14:cfRule type="expression" priority="30" id="{BBBCE0C7-5E6D-4AC1-B59C-C295305C7BE0}">
            <xm:f>contype!$M$3="N"</xm:f>
            <x14:dxf>
              <fill>
                <patternFill>
                  <bgColor theme="1"/>
                </patternFill>
              </fill>
            </x14:dxf>
          </x14:cfRule>
          <xm:sqref>C4</xm:sqref>
        </x14:conditionalFormatting>
        <x14:conditionalFormatting xmlns:xm="http://schemas.microsoft.com/office/excel/2006/main">
          <x14:cfRule type="expression" priority="28" id="{7D938536-C566-4B05-92C6-3A06354CF806}">
            <xm:f>contype!$M$3="N"</xm:f>
            <x14:dxf>
              <fill>
                <patternFill>
                  <bgColor theme="1"/>
                </patternFill>
              </fill>
            </x14:dxf>
          </x14:cfRule>
          <xm:sqref>D4</xm:sqref>
        </x14:conditionalFormatting>
        <x14:conditionalFormatting xmlns:xm="http://schemas.microsoft.com/office/excel/2006/main">
          <x14:cfRule type="expression" priority="24" id="{F367A4A8-E5AA-4557-A046-3C51E10ED781}">
            <xm:f>contype!$M$3="N"</xm:f>
            <x14:dxf>
              <fill>
                <patternFill>
                  <bgColor theme="1"/>
                </patternFill>
              </fill>
            </x14:dxf>
          </x14:cfRule>
          <xm:sqref>B5</xm:sqref>
        </x14:conditionalFormatting>
        <x14:conditionalFormatting xmlns:xm="http://schemas.microsoft.com/office/excel/2006/main">
          <x14:cfRule type="expression" priority="22" id="{358880FB-72BD-43D1-A4AB-55841A8BC00D}">
            <xm:f>contype!$M$3="N"</xm:f>
            <x14:dxf>
              <fill>
                <patternFill>
                  <bgColor theme="1"/>
                </patternFill>
              </fill>
            </x14:dxf>
          </x14:cfRule>
          <xm:sqref>C5</xm:sqref>
        </x14:conditionalFormatting>
        <x14:conditionalFormatting xmlns:xm="http://schemas.microsoft.com/office/excel/2006/main">
          <x14:cfRule type="expression" priority="16" id="{78E020F9-BC2B-4B2D-BFF5-CC0ED34EC1D3}">
            <xm:f>contype!$M$3="N"</xm:f>
            <x14:dxf>
              <fill>
                <patternFill>
                  <bgColor theme="1"/>
                </patternFill>
              </fill>
            </x14:dxf>
          </x14:cfRule>
          <xm:sqref>B6</xm:sqref>
        </x14:conditionalFormatting>
        <x14:conditionalFormatting xmlns:xm="http://schemas.microsoft.com/office/excel/2006/main">
          <x14:cfRule type="expression" priority="14" id="{13AA57C4-2AD7-4ECB-A2F0-67AC46224DAF}">
            <xm:f>contype!$M$3="N"</xm:f>
            <x14:dxf>
              <fill>
                <patternFill>
                  <bgColor theme="1"/>
                </patternFill>
              </fill>
            </x14:dxf>
          </x14:cfRule>
          <xm:sqref>C6</xm:sqref>
        </x14:conditionalFormatting>
        <x14:conditionalFormatting xmlns:xm="http://schemas.microsoft.com/office/excel/2006/main">
          <x14:cfRule type="expression" priority="12" id="{BE2EFBCC-8818-48C3-B860-5FA4461B1B5D}">
            <xm:f>contype!$M$3="N"</xm:f>
            <x14:dxf>
              <fill>
                <patternFill>
                  <bgColor theme="1"/>
                </patternFill>
              </fill>
            </x14:dxf>
          </x14:cfRule>
          <xm:sqref>D6</xm:sqref>
        </x14:conditionalFormatting>
        <x14:conditionalFormatting xmlns:xm="http://schemas.microsoft.com/office/excel/2006/main">
          <x14:cfRule type="expression" priority="9" id="{560024E2-2154-4E91-9FF6-CA86EE47224D}">
            <xm:f>contype!$M$3="N"</xm:f>
            <x14:dxf>
              <fill>
                <patternFill>
                  <bgColor theme="1"/>
                </patternFill>
              </fill>
            </x14:dxf>
          </x14:cfRule>
          <xm:sqref>D5</xm:sqref>
        </x14:conditionalFormatting>
        <x14:conditionalFormatting xmlns:xm="http://schemas.microsoft.com/office/excel/2006/main">
          <x14:cfRule type="expression" priority="7" id="{B93E553A-DA7B-4E22-A77F-7B89285E21E2}">
            <xm:f>contype!$M$3="N"</xm:f>
            <x14:dxf>
              <fill>
                <patternFill>
                  <bgColor theme="1"/>
                </patternFill>
              </fill>
            </x14:dxf>
          </x14:cfRule>
          <xm:sqref>A4:A9</xm:sqref>
        </x14:conditionalFormatting>
        <x14:conditionalFormatting xmlns:xm="http://schemas.microsoft.com/office/excel/2006/main">
          <x14:cfRule type="expression" priority="2" id="{733A92F1-5A3C-884A-A566-ADCE58BC6B1F}">
            <xm:f>contype!$M$3="N"</xm:f>
            <x14:dxf>
              <fill>
                <patternFill>
                  <bgColor theme="1"/>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907F18-A4DA-4C0E-A4D8-AEDF2A6155DE}">
          <x14:formula1>
            <xm:f>contype!$AD$2:$AD$4</xm:f>
          </x14:formula1>
          <xm:sqref>E3:E9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860E-8D9D-4946-BDA5-BEBA8CE58970}">
  <sheetPr codeName="Sheet13"/>
  <dimension ref="A1:I5"/>
  <sheetViews>
    <sheetView workbookViewId="0">
      <selection activeCell="H2" sqref="H2"/>
    </sheetView>
  </sheetViews>
  <sheetFormatPr baseColWidth="10" defaultColWidth="8.83203125" defaultRowHeight="15" x14ac:dyDescent="0.2"/>
  <cols>
    <col min="1" max="1" width="18.5" customWidth="1"/>
    <col min="2" max="2" width="15.83203125" customWidth="1"/>
    <col min="3" max="3" width="20.1640625" customWidth="1"/>
    <col min="4" max="4" width="22.83203125" customWidth="1"/>
    <col min="5" max="5" width="22.5" customWidth="1"/>
    <col min="6" max="6" width="17.5" customWidth="1"/>
    <col min="7" max="7" width="19.6640625" customWidth="1"/>
    <col min="8" max="8" width="21" customWidth="1"/>
    <col min="9" max="9" width="14.6640625" customWidth="1"/>
  </cols>
  <sheetData>
    <row r="1" spans="1:9" ht="16" x14ac:dyDescent="0.2">
      <c r="A1" s="61" t="s">
        <v>182</v>
      </c>
      <c r="B1" s="61" t="s">
        <v>183</v>
      </c>
      <c r="C1" s="61" t="s">
        <v>184</v>
      </c>
      <c r="D1" s="61" t="s">
        <v>47</v>
      </c>
      <c r="E1" s="61" t="s">
        <v>63</v>
      </c>
      <c r="F1" s="61" t="s">
        <v>261</v>
      </c>
      <c r="G1" s="61" t="s">
        <v>262</v>
      </c>
      <c r="H1" s="62" t="s">
        <v>263</v>
      </c>
      <c r="I1" s="10" t="s">
        <v>254</v>
      </c>
    </row>
    <row r="2" spans="1:9" ht="16" x14ac:dyDescent="0.2">
      <c r="A2" s="2" t="s">
        <v>56</v>
      </c>
      <c r="B2" s="2">
        <v>10480</v>
      </c>
      <c r="C2" s="2" t="s">
        <v>57</v>
      </c>
      <c r="D2" s="2" t="str">
        <f>+Attribute!C13</f>
        <v>[minimum_required_operating_system_version]</v>
      </c>
      <c r="E2" s="2" t="s">
        <v>59</v>
      </c>
      <c r="F2" s="2" t="str">
        <f t="shared" ref="F2" si="0">IF(G2="ui_modifiers","vss","ump")</f>
        <v>vss</v>
      </c>
      <c r="G2" s="2" t="s">
        <v>264</v>
      </c>
      <c r="H2" s="2" t="str">
        <f>IF(G2="ui_modifiers","visible_editable","")</f>
        <v>visible_editable</v>
      </c>
      <c r="I2" s="35" t="s">
        <v>255</v>
      </c>
    </row>
    <row r="3" spans="1:9" x14ac:dyDescent="0.2">
      <c r="A3" s="2"/>
      <c r="B3" s="2"/>
      <c r="C3" s="2"/>
      <c r="D3" s="2"/>
      <c r="E3" s="2" t="str">
        <f>IF(' Datatype Field'!B3&lt;&gt;"",' Datatype Field'!B3," ")</f>
        <v xml:space="preserve"> </v>
      </c>
      <c r="F3" s="2"/>
      <c r="G3" s="2"/>
      <c r="H3" s="2" t="str">
        <f t="shared" ref="H3:H5" si="1">IF(G3="ui_modifiers","visible_editable","")</f>
        <v/>
      </c>
      <c r="I3" s="35"/>
    </row>
    <row r="4" spans="1:9" x14ac:dyDescent="0.2">
      <c r="A4" s="2"/>
      <c r="B4" s="2"/>
      <c r="C4" s="2"/>
      <c r="D4" s="2"/>
      <c r="E4" s="2" t="str">
        <f>IF(' Datatype Field'!B4&lt;&gt;"",' Datatype Field'!B4," ")</f>
        <v xml:space="preserve"> </v>
      </c>
      <c r="F4" s="2"/>
      <c r="G4" s="2"/>
      <c r="H4" s="2" t="str">
        <f t="shared" si="1"/>
        <v/>
      </c>
      <c r="I4" s="35"/>
    </row>
    <row r="5" spans="1:9" x14ac:dyDescent="0.2">
      <c r="A5" s="2"/>
      <c r="B5" s="2"/>
      <c r="C5" s="2"/>
      <c r="D5" s="2"/>
      <c r="E5" s="2" t="str">
        <f>IF(' Datatype Field'!B5&lt;&gt;"",' Datatype Field'!B5," ")</f>
        <v xml:space="preserve"> </v>
      </c>
      <c r="F5" s="2"/>
      <c r="G5" s="2"/>
      <c r="H5" s="2" t="str">
        <f t="shared" si="1"/>
        <v/>
      </c>
      <c r="I5" s="35"/>
    </row>
  </sheetData>
  <dataValidations count="1">
    <dataValidation allowBlank="1" showInputMessage="1" showErrorMessage="1" prompt="For ui_modifiers, the default value is visible_editable. Other valid values include visible and not_visible_or_editable." sqref="H1" xr:uid="{44A14EED-3B2B-43A0-9FB4-C28E14C16D0E}"/>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026A6F-3074-4224-A57E-F3C2158CF9AC}">
          <x14:formula1>
            <xm:f>contype!$AF$2:$AF$5</xm:f>
          </x14:formula1>
          <xm:sqref>G2:G5</xm:sqref>
        </x14:dataValidation>
        <x14:dataValidation type="list" allowBlank="1" showInputMessage="1" showErrorMessage="1" xr:uid="{A170BECB-C560-4E8B-9B95-EA64465AF767}">
          <x14:formula1>
            <xm:f>contype!$AD$2:$AD$4</xm:f>
          </x14:formula1>
          <xm:sqref>I2:I5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EFE16-87AF-4B01-8326-399DD593DFB5}">
  <sheetPr codeName="Sheet14"/>
  <dimension ref="A1:I33"/>
  <sheetViews>
    <sheetView topLeftCell="B29" workbookViewId="0">
      <selection activeCell="G26" sqref="G26"/>
    </sheetView>
  </sheetViews>
  <sheetFormatPr baseColWidth="10" defaultColWidth="8.83203125" defaultRowHeight="15" x14ac:dyDescent="0.2"/>
  <cols>
    <col min="1" max="1" width="21.83203125" customWidth="1"/>
    <col min="2" max="2" width="21.1640625" customWidth="1"/>
    <col min="3" max="3" width="40.83203125" customWidth="1"/>
    <col min="4" max="4" width="48.33203125" customWidth="1"/>
    <col min="5" max="5" width="34.33203125" customWidth="1"/>
    <col min="6" max="6" width="20.1640625" customWidth="1"/>
    <col min="7" max="7" width="21.83203125" customWidth="1"/>
    <col min="8" max="8" width="26" customWidth="1"/>
  </cols>
  <sheetData>
    <row r="1" spans="1:9" ht="27.5" customHeight="1" x14ac:dyDescent="0.2">
      <c r="A1" s="61" t="s">
        <v>182</v>
      </c>
      <c r="B1" s="61" t="s">
        <v>183</v>
      </c>
      <c r="C1" s="61" t="s">
        <v>184</v>
      </c>
      <c r="D1" s="61" t="s">
        <v>47</v>
      </c>
      <c r="E1" s="62" t="s">
        <v>188</v>
      </c>
      <c r="F1" s="62" t="s">
        <v>187</v>
      </c>
      <c r="G1" s="62" t="s">
        <v>53</v>
      </c>
      <c r="H1" s="62" t="s">
        <v>186</v>
      </c>
      <c r="I1" s="62" t="s">
        <v>254</v>
      </c>
    </row>
    <row r="2" spans="1:9" ht="16" x14ac:dyDescent="0.2">
      <c r="A2" t="s">
        <v>56</v>
      </c>
      <c r="B2">
        <v>10480</v>
      </c>
      <c r="C2" t="s">
        <v>747</v>
      </c>
      <c r="D2" t="s">
        <v>304</v>
      </c>
      <c r="E2" t="s">
        <v>185</v>
      </c>
      <c r="I2" s="35" t="s">
        <v>255</v>
      </c>
    </row>
    <row r="3" spans="1:9" ht="16" x14ac:dyDescent="0.2">
      <c r="A3" t="s">
        <v>56</v>
      </c>
      <c r="B3">
        <v>10480</v>
      </c>
      <c r="C3" t="s">
        <v>748</v>
      </c>
      <c r="D3" t="s">
        <v>304</v>
      </c>
      <c r="E3" t="s">
        <v>185</v>
      </c>
      <c r="I3" s="35" t="s">
        <v>255</v>
      </c>
    </row>
    <row r="4" spans="1:9" ht="16" x14ac:dyDescent="0.2">
      <c r="A4" t="s">
        <v>56</v>
      </c>
      <c r="B4">
        <v>10480</v>
      </c>
      <c r="C4" t="s">
        <v>749</v>
      </c>
      <c r="D4" t="s">
        <v>304</v>
      </c>
      <c r="E4" t="s">
        <v>185</v>
      </c>
      <c r="I4" s="35" t="s">
        <v>255</v>
      </c>
    </row>
    <row r="5" spans="1:9" ht="16" x14ac:dyDescent="0.2">
      <c r="A5" t="s">
        <v>56</v>
      </c>
      <c r="B5">
        <v>10480</v>
      </c>
      <c r="C5" t="s">
        <v>750</v>
      </c>
      <c r="D5" t="s">
        <v>304</v>
      </c>
      <c r="E5" t="s">
        <v>185</v>
      </c>
      <c r="I5" s="35" t="s">
        <v>255</v>
      </c>
    </row>
    <row r="6" spans="1:9" ht="16" x14ac:dyDescent="0.2">
      <c r="A6" t="s">
        <v>56</v>
      </c>
      <c r="B6">
        <v>10480</v>
      </c>
      <c r="C6" t="s">
        <v>751</v>
      </c>
      <c r="D6" t="s">
        <v>304</v>
      </c>
      <c r="E6" t="s">
        <v>185</v>
      </c>
      <c r="I6" s="35" t="s">
        <v>255</v>
      </c>
    </row>
    <row r="7" spans="1:9" ht="16" x14ac:dyDescent="0.2">
      <c r="A7" t="s">
        <v>56</v>
      </c>
      <c r="B7">
        <v>10480</v>
      </c>
      <c r="C7" t="s">
        <v>752</v>
      </c>
      <c r="D7" t="s">
        <v>304</v>
      </c>
      <c r="E7" t="s">
        <v>185</v>
      </c>
      <c r="I7" s="35" t="s">
        <v>255</v>
      </c>
    </row>
    <row r="8" spans="1:9" ht="16" x14ac:dyDescent="0.2">
      <c r="A8" t="s">
        <v>56</v>
      </c>
      <c r="B8">
        <v>10480</v>
      </c>
      <c r="C8" t="s">
        <v>753</v>
      </c>
      <c r="D8" t="s">
        <v>304</v>
      </c>
      <c r="E8" t="s">
        <v>185</v>
      </c>
      <c r="I8" s="35" t="s">
        <v>255</v>
      </c>
    </row>
    <row r="9" spans="1:9" ht="16" x14ac:dyDescent="0.2">
      <c r="A9" t="s">
        <v>56</v>
      </c>
      <c r="B9">
        <v>10480</v>
      </c>
      <c r="C9" t="s">
        <v>754</v>
      </c>
      <c r="D9" t="s">
        <v>304</v>
      </c>
      <c r="E9" t="s">
        <v>185</v>
      </c>
      <c r="I9" s="35" t="s">
        <v>255</v>
      </c>
    </row>
    <row r="10" spans="1:9" ht="16" x14ac:dyDescent="0.2">
      <c r="A10" t="s">
        <v>56</v>
      </c>
      <c r="B10">
        <v>10480</v>
      </c>
      <c r="C10" t="s">
        <v>745</v>
      </c>
      <c r="D10" t="s">
        <v>304</v>
      </c>
      <c r="E10" t="s">
        <v>185</v>
      </c>
      <c r="I10" s="35" t="s">
        <v>255</v>
      </c>
    </row>
    <row r="11" spans="1:9" ht="16" x14ac:dyDescent="0.2">
      <c r="A11" t="s">
        <v>56</v>
      </c>
      <c r="B11">
        <v>10480</v>
      </c>
      <c r="C11" t="s">
        <v>746</v>
      </c>
      <c r="D11" t="s">
        <v>304</v>
      </c>
      <c r="E11" t="s">
        <v>185</v>
      </c>
      <c r="I11" s="35" t="s">
        <v>255</v>
      </c>
    </row>
    <row r="12" spans="1:9" ht="16" x14ac:dyDescent="0.2">
      <c r="A12" t="s">
        <v>56</v>
      </c>
      <c r="B12">
        <v>10480</v>
      </c>
      <c r="C12" s="108" t="s">
        <v>760</v>
      </c>
      <c r="D12" t="s">
        <v>304</v>
      </c>
      <c r="E12" t="s">
        <v>185</v>
      </c>
      <c r="I12" s="35" t="s">
        <v>255</v>
      </c>
    </row>
    <row r="13" spans="1:9" ht="16" x14ac:dyDescent="0.2">
      <c r="A13" t="s">
        <v>56</v>
      </c>
      <c r="B13">
        <v>10480</v>
      </c>
      <c r="C13" s="107" t="s">
        <v>758</v>
      </c>
      <c r="D13" t="s">
        <v>304</v>
      </c>
      <c r="E13" t="s">
        <v>185</v>
      </c>
      <c r="I13" s="35" t="s">
        <v>255</v>
      </c>
    </row>
    <row r="14" spans="1:9" ht="16" x14ac:dyDescent="0.2">
      <c r="A14" t="s">
        <v>56</v>
      </c>
      <c r="B14">
        <v>10480</v>
      </c>
      <c r="C14" t="s">
        <v>759</v>
      </c>
      <c r="D14" t="s">
        <v>304</v>
      </c>
      <c r="E14" t="s">
        <v>185</v>
      </c>
      <c r="I14" s="35" t="s">
        <v>255</v>
      </c>
    </row>
    <row r="15" spans="1:9" ht="16" x14ac:dyDescent="0.2">
      <c r="A15" t="s">
        <v>56</v>
      </c>
      <c r="B15">
        <v>10480</v>
      </c>
      <c r="C15" t="s">
        <v>761</v>
      </c>
      <c r="D15" t="s">
        <v>304</v>
      </c>
      <c r="E15" t="s">
        <v>185</v>
      </c>
      <c r="I15" s="35" t="s">
        <v>255</v>
      </c>
    </row>
    <row r="16" spans="1:9" ht="16" x14ac:dyDescent="0.2">
      <c r="A16" t="s">
        <v>56</v>
      </c>
      <c r="B16">
        <v>10480</v>
      </c>
      <c r="C16" t="s">
        <v>762</v>
      </c>
      <c r="D16" t="s">
        <v>304</v>
      </c>
      <c r="E16" t="s">
        <v>185</v>
      </c>
      <c r="I16" s="35" t="s">
        <v>255</v>
      </c>
    </row>
    <row r="17" spans="1:9" ht="16" x14ac:dyDescent="0.2">
      <c r="A17" t="s">
        <v>56</v>
      </c>
      <c r="B17">
        <v>10480</v>
      </c>
      <c r="C17" t="s">
        <v>902</v>
      </c>
      <c r="D17" t="s">
        <v>304</v>
      </c>
      <c r="E17" t="s">
        <v>185</v>
      </c>
      <c r="I17" s="35" t="s">
        <v>255</v>
      </c>
    </row>
    <row r="18" spans="1:9" ht="16" x14ac:dyDescent="0.2">
      <c r="A18" t="s">
        <v>56</v>
      </c>
      <c r="B18">
        <v>10480</v>
      </c>
      <c r="C18" t="s">
        <v>747</v>
      </c>
      <c r="D18" t="s">
        <v>304</v>
      </c>
      <c r="E18" t="s">
        <v>216</v>
      </c>
      <c r="I18" s="35" t="s">
        <v>255</v>
      </c>
    </row>
    <row r="19" spans="1:9" ht="16" x14ac:dyDescent="0.2">
      <c r="A19" t="s">
        <v>56</v>
      </c>
      <c r="B19">
        <v>10480</v>
      </c>
      <c r="C19" t="s">
        <v>748</v>
      </c>
      <c r="D19" t="s">
        <v>304</v>
      </c>
      <c r="E19" t="s">
        <v>216</v>
      </c>
      <c r="I19" s="35" t="s">
        <v>255</v>
      </c>
    </row>
    <row r="20" spans="1:9" ht="16" x14ac:dyDescent="0.2">
      <c r="A20" t="s">
        <v>56</v>
      </c>
      <c r="B20">
        <v>10480</v>
      </c>
      <c r="C20" t="s">
        <v>749</v>
      </c>
      <c r="D20" t="s">
        <v>304</v>
      </c>
      <c r="E20" t="s">
        <v>216</v>
      </c>
      <c r="I20" s="35" t="s">
        <v>255</v>
      </c>
    </row>
    <row r="21" spans="1:9" ht="16" x14ac:dyDescent="0.2">
      <c r="A21" t="s">
        <v>56</v>
      </c>
      <c r="B21">
        <v>10480</v>
      </c>
      <c r="C21" t="s">
        <v>750</v>
      </c>
      <c r="D21" t="s">
        <v>304</v>
      </c>
      <c r="E21" t="s">
        <v>216</v>
      </c>
      <c r="I21" s="35" t="s">
        <v>255</v>
      </c>
    </row>
    <row r="22" spans="1:9" ht="16" x14ac:dyDescent="0.2">
      <c r="A22" t="s">
        <v>56</v>
      </c>
      <c r="B22">
        <v>10480</v>
      </c>
      <c r="C22" t="s">
        <v>751</v>
      </c>
      <c r="D22" t="s">
        <v>304</v>
      </c>
      <c r="E22" t="s">
        <v>216</v>
      </c>
      <c r="I22" s="35" t="s">
        <v>255</v>
      </c>
    </row>
    <row r="23" spans="1:9" ht="16" x14ac:dyDescent="0.2">
      <c r="A23" t="s">
        <v>56</v>
      </c>
      <c r="B23">
        <v>10480</v>
      </c>
      <c r="C23" t="s">
        <v>752</v>
      </c>
      <c r="D23" t="s">
        <v>304</v>
      </c>
      <c r="E23" t="s">
        <v>216</v>
      </c>
      <c r="I23" s="35" t="s">
        <v>255</v>
      </c>
    </row>
    <row r="24" spans="1:9" ht="16" x14ac:dyDescent="0.2">
      <c r="A24" t="s">
        <v>56</v>
      </c>
      <c r="B24">
        <v>10480</v>
      </c>
      <c r="C24" t="s">
        <v>753</v>
      </c>
      <c r="D24" t="s">
        <v>304</v>
      </c>
      <c r="E24" t="s">
        <v>216</v>
      </c>
      <c r="I24" s="35" t="s">
        <v>255</v>
      </c>
    </row>
    <row r="25" spans="1:9" ht="16" x14ac:dyDescent="0.2">
      <c r="A25" t="s">
        <v>56</v>
      </c>
      <c r="B25">
        <v>10480</v>
      </c>
      <c r="C25" t="s">
        <v>754</v>
      </c>
      <c r="D25" t="s">
        <v>304</v>
      </c>
      <c r="E25" t="s">
        <v>216</v>
      </c>
      <c r="I25" s="35" t="s">
        <v>255</v>
      </c>
    </row>
    <row r="26" spans="1:9" ht="16" x14ac:dyDescent="0.2">
      <c r="A26" t="s">
        <v>56</v>
      </c>
      <c r="B26">
        <v>10480</v>
      </c>
      <c r="C26" t="s">
        <v>745</v>
      </c>
      <c r="D26" t="s">
        <v>304</v>
      </c>
      <c r="E26" t="s">
        <v>216</v>
      </c>
      <c r="I26" s="35" t="s">
        <v>255</v>
      </c>
    </row>
    <row r="27" spans="1:9" ht="16" x14ac:dyDescent="0.2">
      <c r="A27" t="s">
        <v>56</v>
      </c>
      <c r="B27">
        <v>10480</v>
      </c>
      <c r="C27" t="s">
        <v>746</v>
      </c>
      <c r="D27" t="s">
        <v>304</v>
      </c>
      <c r="E27" t="s">
        <v>216</v>
      </c>
      <c r="I27" s="35" t="s">
        <v>255</v>
      </c>
    </row>
    <row r="28" spans="1:9" ht="16" x14ac:dyDescent="0.2">
      <c r="A28" t="s">
        <v>56</v>
      </c>
      <c r="B28">
        <v>10480</v>
      </c>
      <c r="C28" s="108" t="s">
        <v>760</v>
      </c>
      <c r="D28" t="s">
        <v>304</v>
      </c>
      <c r="E28" t="s">
        <v>216</v>
      </c>
      <c r="I28" s="35" t="s">
        <v>255</v>
      </c>
    </row>
    <row r="29" spans="1:9" ht="16" x14ac:dyDescent="0.2">
      <c r="A29" t="s">
        <v>56</v>
      </c>
      <c r="B29">
        <v>10480</v>
      </c>
      <c r="C29" s="107" t="s">
        <v>758</v>
      </c>
      <c r="D29" t="s">
        <v>304</v>
      </c>
      <c r="E29" t="s">
        <v>216</v>
      </c>
      <c r="I29" s="35" t="s">
        <v>255</v>
      </c>
    </row>
    <row r="30" spans="1:9" ht="16" x14ac:dyDescent="0.2">
      <c r="A30" t="s">
        <v>56</v>
      </c>
      <c r="B30">
        <v>10480</v>
      </c>
      <c r="C30" t="s">
        <v>759</v>
      </c>
      <c r="D30" t="s">
        <v>304</v>
      </c>
      <c r="E30" t="s">
        <v>216</v>
      </c>
      <c r="I30" s="35" t="s">
        <v>255</v>
      </c>
    </row>
    <row r="31" spans="1:9" ht="16" x14ac:dyDescent="0.2">
      <c r="A31" t="s">
        <v>56</v>
      </c>
      <c r="B31">
        <v>10480</v>
      </c>
      <c r="C31" t="s">
        <v>761</v>
      </c>
      <c r="D31" t="s">
        <v>304</v>
      </c>
      <c r="E31" t="s">
        <v>216</v>
      </c>
      <c r="I31" s="35" t="s">
        <v>255</v>
      </c>
    </row>
    <row r="32" spans="1:9" ht="16" x14ac:dyDescent="0.2">
      <c r="A32" t="s">
        <v>56</v>
      </c>
      <c r="B32">
        <v>10480</v>
      </c>
      <c r="C32" t="s">
        <v>762</v>
      </c>
      <c r="D32" t="s">
        <v>304</v>
      </c>
      <c r="E32" t="s">
        <v>216</v>
      </c>
      <c r="I32" s="35" t="s">
        <v>255</v>
      </c>
    </row>
    <row r="33" spans="1:9" ht="16" x14ac:dyDescent="0.2">
      <c r="A33" t="s">
        <v>56</v>
      </c>
      <c r="B33">
        <v>10480</v>
      </c>
      <c r="C33" t="s">
        <v>902</v>
      </c>
      <c r="D33" t="s">
        <v>304</v>
      </c>
      <c r="E33" t="s">
        <v>216</v>
      </c>
      <c r="I33" s="35" t="s">
        <v>255</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A318B8C-D622-3443-836B-44558014E51B}">
          <x14:formula1>
            <xm:f>contype!$Y$2:$Y$4</xm:f>
          </x14:formula1>
          <xm:sqref>A2:A33</xm:sqref>
        </x14:dataValidation>
        <x14:dataValidation type="list" allowBlank="1" showInputMessage="1" showErrorMessage="1" xr:uid="{CCF9467E-947A-A14D-89C3-ABF0F210379A}">
          <x14:formula1>
            <xm:f>contype!$AD$2:$AD$4</xm:f>
          </x14:formula1>
          <xm:sqref>I2:I33</xm:sqref>
        </x14:dataValidation>
        <x14:dataValidation type="list" allowBlank="1" showInputMessage="1" showErrorMessage="1" xr:uid="{C85A5B2F-3C69-C94D-8874-DC9E08D6E504}">
          <x14:formula1>
            <xm:f>contype!$X$2:$X$8</xm:f>
          </x14:formula1>
          <xm:sqref>E2:E17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D521-2E48-47A7-84F4-683B523C3907}">
  <sheetPr codeName="Sheet11"/>
  <dimension ref="A1:A13"/>
  <sheetViews>
    <sheetView workbookViewId="0">
      <selection activeCell="A13" sqref="A13"/>
    </sheetView>
  </sheetViews>
  <sheetFormatPr baseColWidth="10" defaultColWidth="8.83203125" defaultRowHeight="15" x14ac:dyDescent="0.2"/>
  <cols>
    <col min="1" max="1" width="126" customWidth="1"/>
  </cols>
  <sheetData>
    <row r="1" spans="1:1" x14ac:dyDescent="0.2">
      <c r="A1" s="100" t="s">
        <v>170</v>
      </c>
    </row>
    <row r="2" spans="1:1" x14ac:dyDescent="0.2">
      <c r="A2" t="s">
        <v>755</v>
      </c>
    </row>
    <row r="3" spans="1:1" x14ac:dyDescent="0.2">
      <c r="A3" t="s">
        <v>755</v>
      </c>
    </row>
    <row r="4" spans="1:1" x14ac:dyDescent="0.2">
      <c r="A4" t="s">
        <v>755</v>
      </c>
    </row>
    <row r="5" spans="1:1" x14ac:dyDescent="0.2">
      <c r="A5" t="s">
        <v>755</v>
      </c>
    </row>
    <row r="6" spans="1:1" x14ac:dyDescent="0.2">
      <c r="A6" t="s">
        <v>756</v>
      </c>
    </row>
    <row r="7" spans="1:1" x14ac:dyDescent="0.2">
      <c r="A7" t="s">
        <v>756</v>
      </c>
    </row>
    <row r="8" spans="1:1" x14ac:dyDescent="0.2">
      <c r="A8" t="s">
        <v>756</v>
      </c>
    </row>
    <row r="9" spans="1:1" x14ac:dyDescent="0.2">
      <c r="A9" t="s">
        <v>756</v>
      </c>
    </row>
    <row r="10" spans="1:1" x14ac:dyDescent="0.2">
      <c r="A10" t="s">
        <v>911</v>
      </c>
    </row>
    <row r="11" spans="1:1" x14ac:dyDescent="0.2">
      <c r="A11" t="s">
        <v>302</v>
      </c>
    </row>
    <row r="12" spans="1:1" x14ac:dyDescent="0.2">
      <c r="A12" t="s">
        <v>303</v>
      </c>
    </row>
    <row r="13" spans="1:1" x14ac:dyDescent="0.2">
      <c r="A13" t="s">
        <v>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53"/>
  <sheetViews>
    <sheetView workbookViewId="0">
      <selection activeCell="G12" sqref="G12"/>
    </sheetView>
  </sheetViews>
  <sheetFormatPr baseColWidth="10" defaultColWidth="8.83203125" defaultRowHeight="15" x14ac:dyDescent="0.2"/>
  <cols>
    <col min="1" max="1" width="50.5" customWidth="1"/>
    <col min="2" max="2" width="40.5" customWidth="1"/>
    <col min="3" max="3" width="21.83203125" customWidth="1"/>
    <col min="4" max="4" width="39.83203125" customWidth="1"/>
  </cols>
  <sheetData>
    <row r="1" spans="1:4" x14ac:dyDescent="0.2">
      <c r="A1" s="34" t="s">
        <v>72</v>
      </c>
    </row>
    <row r="2" spans="1:4" ht="16" x14ac:dyDescent="0.2">
      <c r="A2" s="35" t="s">
        <v>73</v>
      </c>
    </row>
    <row r="4" spans="1:4" x14ac:dyDescent="0.2">
      <c r="A4" s="34" t="s">
        <v>74</v>
      </c>
    </row>
    <row r="5" spans="1:4" x14ac:dyDescent="0.2">
      <c r="A5" s="176"/>
    </row>
    <row r="6" spans="1:4" x14ac:dyDescent="0.2">
      <c r="A6" s="177"/>
    </row>
    <row r="7" spans="1:4" x14ac:dyDescent="0.2">
      <c r="A7" s="177"/>
    </row>
    <row r="8" spans="1:4" x14ac:dyDescent="0.2">
      <c r="A8" s="177"/>
    </row>
    <row r="9" spans="1:4" x14ac:dyDescent="0.2">
      <c r="A9" s="178"/>
    </row>
    <row r="11" spans="1:4" x14ac:dyDescent="0.2">
      <c r="A11" s="10" t="s">
        <v>75</v>
      </c>
      <c r="B11" s="10" t="s">
        <v>76</v>
      </c>
      <c r="C11" s="10" t="s">
        <v>77</v>
      </c>
      <c r="D11" s="10" t="s">
        <v>78</v>
      </c>
    </row>
    <row r="12" spans="1:4" x14ac:dyDescent="0.2">
      <c r="A12" s="2"/>
      <c r="B12" s="2"/>
      <c r="C12" s="2"/>
      <c r="D12" s="2"/>
    </row>
    <row r="13" spans="1:4" x14ac:dyDescent="0.2">
      <c r="A13" s="2"/>
      <c r="B13" s="2"/>
      <c r="C13" s="2"/>
      <c r="D13" s="2"/>
    </row>
    <row r="14" spans="1:4" x14ac:dyDescent="0.2">
      <c r="A14" s="2"/>
      <c r="B14" s="2"/>
      <c r="C14" s="2"/>
      <c r="D14" s="2"/>
    </row>
    <row r="15" spans="1:4" x14ac:dyDescent="0.2">
      <c r="A15" s="2"/>
      <c r="B15" s="2"/>
      <c r="C15" s="2"/>
      <c r="D15" s="2"/>
    </row>
    <row r="16" spans="1:4" x14ac:dyDescent="0.2">
      <c r="A16" s="2"/>
      <c r="B16" s="2"/>
      <c r="C16" s="2"/>
      <c r="D16" s="2"/>
    </row>
    <row r="17" spans="1:4" x14ac:dyDescent="0.2">
      <c r="A17" s="2"/>
      <c r="B17" s="2"/>
      <c r="C17" s="2"/>
      <c r="D17" s="2"/>
    </row>
    <row r="18" spans="1:4" x14ac:dyDescent="0.2">
      <c r="A18" s="2"/>
      <c r="B18" s="2"/>
      <c r="C18" s="2"/>
      <c r="D18" s="2"/>
    </row>
    <row r="19" spans="1:4" x14ac:dyDescent="0.2">
      <c r="A19" s="2"/>
      <c r="B19" s="2"/>
      <c r="C19" s="2"/>
      <c r="D19" s="2"/>
    </row>
    <row r="20" spans="1:4" x14ac:dyDescent="0.2">
      <c r="A20" s="2"/>
      <c r="B20" s="2"/>
      <c r="C20" s="2"/>
      <c r="D20" s="2"/>
    </row>
    <row r="21" spans="1:4" x14ac:dyDescent="0.2">
      <c r="A21" s="2"/>
      <c r="B21" s="2"/>
      <c r="C21" s="2"/>
      <c r="D21" s="2"/>
    </row>
    <row r="22" spans="1:4" x14ac:dyDescent="0.2">
      <c r="A22" s="2"/>
      <c r="B22" s="2"/>
      <c r="C22" s="2"/>
      <c r="D22" s="2"/>
    </row>
    <row r="23" spans="1:4" x14ac:dyDescent="0.2">
      <c r="A23" s="2"/>
      <c r="B23" s="2"/>
      <c r="C23" s="2"/>
      <c r="D23" s="2"/>
    </row>
    <row r="24" spans="1:4" x14ac:dyDescent="0.2">
      <c r="A24" s="2"/>
      <c r="B24" s="2"/>
      <c r="C24" s="2"/>
      <c r="D24" s="2"/>
    </row>
    <row r="25" spans="1:4" x14ac:dyDescent="0.2">
      <c r="A25" s="2"/>
      <c r="B25" s="2"/>
      <c r="C25" s="2"/>
      <c r="D25" s="2"/>
    </row>
    <row r="26" spans="1:4" x14ac:dyDescent="0.2">
      <c r="A26" s="2"/>
      <c r="B26" s="2"/>
      <c r="C26" s="2"/>
      <c r="D26" s="2"/>
    </row>
    <row r="27" spans="1:4" x14ac:dyDescent="0.2">
      <c r="A27" s="2"/>
      <c r="B27" s="2"/>
      <c r="C27" s="2"/>
      <c r="D27" s="2"/>
    </row>
    <row r="28" spans="1:4" x14ac:dyDescent="0.2">
      <c r="A28" s="2"/>
      <c r="B28" s="2"/>
      <c r="C28" s="2"/>
      <c r="D28" s="2"/>
    </row>
    <row r="29" spans="1:4" x14ac:dyDescent="0.2">
      <c r="A29" s="2"/>
      <c r="B29" s="2"/>
      <c r="C29" s="2"/>
      <c r="D29" s="2"/>
    </row>
    <row r="32" spans="1:4" x14ac:dyDescent="0.2">
      <c r="A32" s="40" t="s">
        <v>79</v>
      </c>
      <c r="B32" s="40" t="s">
        <v>80</v>
      </c>
    </row>
    <row r="33" spans="1:2" x14ac:dyDescent="0.2">
      <c r="A33" s="2"/>
      <c r="B33" s="2"/>
    </row>
    <row r="34" spans="1:2" x14ac:dyDescent="0.2">
      <c r="A34" s="2"/>
      <c r="B34" s="2"/>
    </row>
    <row r="35" spans="1:2" x14ac:dyDescent="0.2">
      <c r="A35" s="2"/>
      <c r="B35" s="2"/>
    </row>
    <row r="36" spans="1:2" x14ac:dyDescent="0.2">
      <c r="A36" s="2"/>
      <c r="B36" s="2"/>
    </row>
    <row r="37" spans="1:2" x14ac:dyDescent="0.2">
      <c r="A37" s="2"/>
      <c r="B37" s="2"/>
    </row>
    <row r="38" spans="1:2" x14ac:dyDescent="0.2">
      <c r="A38" s="2"/>
      <c r="B38" s="2"/>
    </row>
    <row r="39" spans="1:2" x14ac:dyDescent="0.2">
      <c r="A39" s="2"/>
      <c r="B39" s="2"/>
    </row>
    <row r="40" spans="1:2" x14ac:dyDescent="0.2">
      <c r="A40" s="2"/>
      <c r="B40" s="2"/>
    </row>
    <row r="41" spans="1:2" x14ac:dyDescent="0.2">
      <c r="A41" s="2"/>
      <c r="B41" s="2"/>
    </row>
    <row r="42" spans="1:2" x14ac:dyDescent="0.2">
      <c r="A42" s="2"/>
      <c r="B42" s="2"/>
    </row>
    <row r="43" spans="1:2" x14ac:dyDescent="0.2">
      <c r="A43" s="2"/>
      <c r="B43" s="2"/>
    </row>
    <row r="44" spans="1:2" x14ac:dyDescent="0.2">
      <c r="A44" s="2"/>
      <c r="B44" s="2"/>
    </row>
    <row r="45" spans="1:2" x14ac:dyDescent="0.2">
      <c r="A45" s="2"/>
      <c r="B45" s="2"/>
    </row>
    <row r="46" spans="1:2" x14ac:dyDescent="0.2">
      <c r="A46" s="2"/>
      <c r="B46" s="2"/>
    </row>
    <row r="47" spans="1:2" x14ac:dyDescent="0.2">
      <c r="A47" s="2"/>
      <c r="B47" s="2"/>
    </row>
    <row r="48" spans="1:2" x14ac:dyDescent="0.2">
      <c r="A48" s="2"/>
      <c r="B48" s="2"/>
    </row>
    <row r="49" spans="1:2" x14ac:dyDescent="0.2">
      <c r="A49" s="2"/>
      <c r="B49" s="2"/>
    </row>
    <row r="50" spans="1:2" x14ac:dyDescent="0.2">
      <c r="A50" s="2"/>
      <c r="B50" s="2"/>
    </row>
    <row r="51" spans="1:2" x14ac:dyDescent="0.2">
      <c r="A51" s="2"/>
      <c r="B51" s="2"/>
    </row>
    <row r="52" spans="1:2" x14ac:dyDescent="0.2">
      <c r="A52" s="2"/>
      <c r="B52" s="2"/>
    </row>
    <row r="53" spans="1:2" x14ac:dyDescent="0.2">
      <c r="A53" s="2"/>
      <c r="B53" s="2"/>
    </row>
  </sheetData>
  <sortState xmlns:xlrd2="http://schemas.microsoft.com/office/spreadsheetml/2017/richdata2" ref="A2:B18">
    <sortCondition ref="A2:A18"/>
  </sortState>
  <mergeCells count="1">
    <mergeCell ref="A5:A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0C065-EFFA-1D47-AD92-1B4DAC0CB35D}">
  <dimension ref="A1"/>
  <sheetViews>
    <sheetView tabSelected="1" workbookViewId="0">
      <selection activeCell="D13" sqref="D13"/>
    </sheetView>
  </sheetViews>
  <sheetFormatPr baseColWidth="10" defaultRowHeight="15" x14ac:dyDescent="0.2"/>
  <sheetData>
    <row r="1" spans="1:1" x14ac:dyDescent="0.2">
      <c r="A1" t="s">
        <v>919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G40"/>
  <sheetViews>
    <sheetView topLeftCell="Q16" zoomScale="70" zoomScaleNormal="70" workbookViewId="0">
      <selection activeCell="S18" sqref="S18"/>
    </sheetView>
  </sheetViews>
  <sheetFormatPr baseColWidth="10" defaultColWidth="8.83203125" defaultRowHeight="15" x14ac:dyDescent="0.2"/>
  <cols>
    <col min="1" max="1" width="33.5" customWidth="1"/>
    <col min="3" max="3" width="15.83203125" customWidth="1"/>
    <col min="5" max="5" width="34.6640625" customWidth="1"/>
    <col min="6" max="7" width="20.5" customWidth="1"/>
    <col min="8" max="8" width="24.1640625" customWidth="1"/>
    <col min="9" max="9" width="35.1640625" style="21" customWidth="1"/>
    <col min="10" max="10" width="30.5" customWidth="1"/>
    <col min="11" max="11" width="17.1640625" customWidth="1"/>
    <col min="12" max="12" width="15.5" customWidth="1"/>
    <col min="13" max="13" width="8.83203125" customWidth="1"/>
    <col min="14" max="14" width="19.83203125" customWidth="1"/>
    <col min="15" max="15" width="16.5" customWidth="1"/>
    <col min="16" max="16" width="33.1640625" customWidth="1"/>
    <col min="17" max="17" width="20.6640625" customWidth="1"/>
    <col min="18" max="18" width="24.6640625" customWidth="1"/>
    <col min="19" max="19" width="34.83203125" customWidth="1"/>
    <col min="20" max="20" width="20.5" customWidth="1"/>
    <col min="21" max="21" width="26.1640625" customWidth="1"/>
    <col min="22" max="22" width="40.83203125" customWidth="1"/>
    <col min="23" max="23" width="19.1640625" customWidth="1"/>
    <col min="24" max="24" width="34.83203125" customWidth="1"/>
    <col min="25" max="25" width="32.5" customWidth="1"/>
    <col min="26" max="26" width="38" customWidth="1"/>
    <col min="27" max="27" width="22.5" customWidth="1"/>
    <col min="28" max="28" width="27.6640625" customWidth="1"/>
    <col min="29" max="29" width="43.1640625" customWidth="1"/>
    <col min="32" max="32" width="22.33203125" customWidth="1"/>
  </cols>
  <sheetData>
    <row r="1" spans="1:33" ht="16" thickBot="1" x14ac:dyDescent="0.25">
      <c r="A1" s="20" t="s">
        <v>81</v>
      </c>
      <c r="B1" s="21" t="s">
        <v>36</v>
      </c>
      <c r="C1" s="21" t="s">
        <v>21</v>
      </c>
      <c r="D1" s="21" t="s">
        <v>24</v>
      </c>
      <c r="E1" s="21" t="s">
        <v>17</v>
      </c>
      <c r="F1" s="21" t="s">
        <v>143</v>
      </c>
      <c r="G1" s="21" t="s">
        <v>133</v>
      </c>
      <c r="H1" s="21" t="s">
        <v>7</v>
      </c>
      <c r="I1" s="21" t="s">
        <v>150</v>
      </c>
      <c r="J1" s="21" t="s">
        <v>145</v>
      </c>
      <c r="K1" s="21" t="s">
        <v>169</v>
      </c>
      <c r="L1" s="46" t="s">
        <v>83</v>
      </c>
      <c r="M1" s="46" t="s">
        <v>84</v>
      </c>
      <c r="N1" s="46" t="s">
        <v>85</v>
      </c>
      <c r="O1" s="46" t="s">
        <v>86</v>
      </c>
      <c r="P1" s="46" t="s">
        <v>164</v>
      </c>
      <c r="Q1" s="69" t="s">
        <v>166</v>
      </c>
      <c r="R1" s="70" t="s">
        <v>171</v>
      </c>
      <c r="S1" s="70" t="s">
        <v>175</v>
      </c>
      <c r="T1" s="70" t="s">
        <v>177</v>
      </c>
      <c r="U1" s="70" t="s">
        <v>195</v>
      </c>
      <c r="V1" s="70" t="s">
        <v>17</v>
      </c>
      <c r="W1" s="70" t="s">
        <v>199</v>
      </c>
      <c r="X1" s="70" t="s">
        <v>188</v>
      </c>
      <c r="Y1" s="70" t="s">
        <v>182</v>
      </c>
      <c r="Z1" s="71" t="s">
        <v>142</v>
      </c>
      <c r="AA1" s="46" t="s">
        <v>94</v>
      </c>
      <c r="AB1" s="46" t="s">
        <v>280</v>
      </c>
      <c r="AC1" t="s">
        <v>228</v>
      </c>
      <c r="AD1" s="87" t="s">
        <v>254</v>
      </c>
      <c r="AE1" s="87" t="s">
        <v>258</v>
      </c>
      <c r="AF1" s="87" t="s">
        <v>262</v>
      </c>
      <c r="AG1" s="87" t="s">
        <v>289</v>
      </c>
    </row>
    <row r="2" spans="1:33" ht="366.5" customHeight="1" thickBot="1" x14ac:dyDescent="0.25">
      <c r="A2" s="20" t="s">
        <v>87</v>
      </c>
      <c r="B2" s="21" t="s">
        <v>88</v>
      </c>
      <c r="C2" s="21" t="s">
        <v>25</v>
      </c>
      <c r="D2" s="21" t="s">
        <v>89</v>
      </c>
      <c r="E2" t="s">
        <v>90</v>
      </c>
      <c r="F2" s="23" t="s">
        <v>123</v>
      </c>
      <c r="G2" s="19"/>
      <c r="H2" s="21" t="s">
        <v>8</v>
      </c>
      <c r="I2" s="19" t="str">
        <f>"{"&amp;CHAR(10)&amp;"ccp_attribute_name:["&amp;CHAR(10)&amp;
     Attribute!G20 &amp;CHAR(10)&amp;
"],
 nested_table:{
    row_type:'BoolVariant@1.0',
    selector:[
    marketplace_id
    ]
 }
}"</f>
        <v>{
ccp_attribute_name:[
minimum_required_operating_system_version
],
 nested_table:{
    row_type:'BoolVariant@1.0',
    selector:[
    marketplace_id
    ]
 }
}</v>
      </c>
      <c r="J2" s="19" t="s">
        <v>174</v>
      </c>
      <c r="K2" s="46" t="s">
        <v>82</v>
      </c>
      <c r="L2" t="b">
        <v>1</v>
      </c>
      <c r="M2" s="2" t="str">
        <f>IF(Attribute!$C$4="New Data Type","N",IF(Attribute!$C$4="Change Datatype","N",IF(Attribute!$C$4="New Complex Attribute","N","&lt;fill in&gt;")))</f>
        <v>&lt;fill in&gt;</v>
      </c>
      <c r="N2" t="s">
        <v>71</v>
      </c>
      <c r="O2" t="s">
        <v>38</v>
      </c>
      <c r="P2" s="44" t="str">
        <f>Attribute!G20&amp;":[
 {"&amp;CHAR(10)&amp;"marketplace_id:1,"&amp;CHAR(10)&amp;"value:"&amp;"Yes"&amp;"
 }
]"</f>
        <v>minimum_required_operating_system_version:[
 {
marketplace_id:1,
value:Yes
 }
]</v>
      </c>
      <c r="Q2" s="72" t="s">
        <v>167</v>
      </c>
      <c r="R2" s="73">
        <f>COUNTIF(Constraint!F3:F9,"=max_precision")</f>
        <v>0</v>
      </c>
      <c r="S2" s="74" t="str">
        <f>"{"&amp;CHAR(10)&amp;"ccp_attribute_name:["&amp;CHAR(10)&amp;
     Attribute!$G$19 &amp;"," &amp;CHAR(10)&amp;
     subattribute!$H$11 &amp;CHAR(10)&amp;
"],
 nested_table:{
    row_type:'BoolStruct@1.0',
    selector:[
    ]
 }
}"</f>
        <v>{
ccp_attribute_name:[
minimum_required_operating_system_version,
shape_size
],
 nested_table:{
    row_type:'BoolStruct@1.0',
    selector:[
    ]
 }
}</v>
      </c>
      <c r="T2" s="73" t="s">
        <v>180</v>
      </c>
      <c r="U2" s="73" t="s">
        <v>222</v>
      </c>
      <c r="V2" s="74"/>
      <c r="W2" s="73" t="s">
        <v>203</v>
      </c>
      <c r="X2" s="73" t="s">
        <v>185</v>
      </c>
      <c r="Y2" s="73" t="s">
        <v>56</v>
      </c>
      <c r="Z2" s="75" t="s">
        <v>238</v>
      </c>
      <c r="AA2" t="s">
        <v>212</v>
      </c>
      <c r="AB2" s="75" t="s">
        <v>238</v>
      </c>
      <c r="AC2" t="e" cm="1">
        <f t="array" ref="AC2">_xlfn.XLOOKUP(Attribute!C4,Z1:AB1,Z2:AB28)</f>
        <v>#N/A</v>
      </c>
      <c r="AD2" s="88" t="s">
        <v>255</v>
      </c>
      <c r="AE2" s="89" t="s">
        <v>259</v>
      </c>
      <c r="AF2" t="s">
        <v>264</v>
      </c>
      <c r="AG2" t="s">
        <v>268</v>
      </c>
    </row>
    <row r="3" spans="1:33" ht="370" thickBot="1" x14ac:dyDescent="0.25">
      <c r="A3" s="20" t="s">
        <v>92</v>
      </c>
      <c r="B3" s="21"/>
      <c r="C3" s="21" t="s">
        <v>158</v>
      </c>
      <c r="D3" s="21" t="s">
        <v>158</v>
      </c>
      <c r="E3" s="21" t="s">
        <v>123</v>
      </c>
      <c r="F3" s="19"/>
      <c r="G3" s="19" t="s">
        <v>135</v>
      </c>
      <c r="H3" s="21" t="s">
        <v>94</v>
      </c>
      <c r="I3" s="19" t="str">
        <f>"{"&amp;CHAR(10)&amp;"ccp_attribute_name:["&amp;CHAR(10)&amp;
     Attribute!$G$20 &amp;CHAR(10)&amp;
"],
 nested_table:{
    row_type:'"&amp;Datatype!$A$2&amp;"@1.0',"&amp;CHAR(10)&amp;"    selector:[
    marketplace_id
    ]
 }
}"</f>
        <v>{
ccp_attribute_name:[
minimum_required_operating_system_version
],
 nested_table:{
    row_type:'@1.0',
    selector:[
    marketplace_id
    ]
 }
}</v>
      </c>
      <c r="J3" s="19" t="s">
        <v>174</v>
      </c>
      <c r="K3" s="21" t="s">
        <v>91</v>
      </c>
      <c r="L3" t="b">
        <v>0</v>
      </c>
      <c r="M3" s="2" t="str">
        <f>IF(Attribute!$C$4="New Datatype","N",IF(Attribute!$C$4="Change Datatype","N","&lt;Fill In&gt;"))</f>
        <v>&lt;Fill In&gt;</v>
      </c>
      <c r="N3" t="s">
        <v>95</v>
      </c>
      <c r="O3" t="s">
        <v>96</v>
      </c>
      <c r="P3" s="44" t="str">
        <f>Attribute!G20&amp;":[
 {"&amp;CHAR(10)&amp;"marketplace_id:1,"&amp;CHAR(10)&amp;"value:10.4"&amp;"
 }
]"</f>
        <v>minimum_required_operating_system_version:[
 {
marketplace_id:1,
value:10.4
 }
]</v>
      </c>
      <c r="Q3" s="76" t="s">
        <v>168</v>
      </c>
      <c r="R3" s="77">
        <f>COUNTIF(Constraint!F3:F9,"=max_scale")</f>
        <v>0</v>
      </c>
      <c r="S3" s="78" t="str">
        <f>"{"&amp;CHAR(10)&amp;"ccp_attribute_name:["&amp;CHAR(10)&amp;
     Attribute!$G$19 &amp;"," &amp;CHAR(10)&amp;
     subattribute!$H$11 &amp;CHAR(10)&amp;
"],
 nested_table:{
    row_type:'DecimalStruct@1.0',
    selector:[
    ]
 }
}"</f>
        <v>{
ccp_attribute_name:[
minimum_required_operating_system_version,
shape_size
],
 nested_table:{
    row_type:'DecimalStruct@1.0',
    selector:[
    ]
 }
}</v>
      </c>
      <c r="T3" s="77" t="s">
        <v>285</v>
      </c>
      <c r="U3" s="77" t="s">
        <v>219</v>
      </c>
      <c r="V3" s="77"/>
      <c r="W3" s="77" t="s">
        <v>205</v>
      </c>
      <c r="X3" s="77" t="s">
        <v>295</v>
      </c>
      <c r="Y3" s="77" t="s">
        <v>215</v>
      </c>
      <c r="Z3" s="79" t="s">
        <v>239</v>
      </c>
      <c r="AA3" t="s">
        <v>211</v>
      </c>
      <c r="AB3" s="79" t="s">
        <v>239</v>
      </c>
      <c r="AD3" t="s">
        <v>257</v>
      </c>
      <c r="AE3" s="90" t="s">
        <v>260</v>
      </c>
      <c r="AF3" t="s">
        <v>265</v>
      </c>
    </row>
    <row r="4" spans="1:33" ht="126" customHeight="1" thickBot="1" x14ac:dyDescent="0.25">
      <c r="A4" s="20" t="s">
        <v>58</v>
      </c>
      <c r="B4" s="21"/>
      <c r="C4" s="21" t="s">
        <v>288</v>
      </c>
      <c r="D4" s="21"/>
      <c r="E4" t="s">
        <v>93</v>
      </c>
      <c r="F4" s="19"/>
      <c r="G4" s="19" t="s">
        <v>136</v>
      </c>
      <c r="H4" s="21" t="s">
        <v>98</v>
      </c>
      <c r="I4" s="19" t="str">
        <f>"{"&amp;CHAR(10)&amp;"ccp_attribute_name:["&amp;CHAR(10)&amp;
     Attribute!G20 &amp;CHAR(10)&amp;
"],
 nested_table:{
    row_type:'DecimalVariant@1.0',
    selector:[
    marketplace_id
    ]
 }
}"</f>
        <v>{
ccp_attribute_name:[
minimum_required_operating_system_version
],
 nested_table:{
    row_type:'DecimalVariant@1.0',
    selector:[
    marketplace_id
    ]
 }
}</v>
      </c>
      <c r="J4" s="19"/>
      <c r="K4" s="21" t="s">
        <v>286</v>
      </c>
      <c r="L4" t="s">
        <v>158</v>
      </c>
      <c r="O4" t="s">
        <v>99</v>
      </c>
      <c r="P4" s="44" t="str">
        <f>Attribute!G21&amp;":[
 {"&amp;CHAR(10)&amp;"marketplace_id:1,"&amp;CHAR(10)&amp;"value:10.4"&amp;"
 }
]"</f>
        <v>subfield:[
 {
marketplace_id:1,
value:10.4
 }
]</v>
      </c>
      <c r="Q4" s="72" t="s">
        <v>227</v>
      </c>
      <c r="R4" s="73">
        <f>COUNTIF(Constraint!B3:B15,"=unit")</f>
        <v>0</v>
      </c>
      <c r="S4" s="74" t="str">
        <f>"{"&amp;CHAR(10)&amp;"ccp_attribute_name:["&amp;CHAR(10)&amp;
     Attribute!$G$19 &amp;"," &amp;CHAR(10)&amp;
     subattribute!$H$11 &amp;CHAR(10)&amp;
"],
 nested_table:{
    row_type:'IntStruct@1.0',
    selector:[
    ]
 }
}"</f>
        <v>{
ccp_attribute_name:[
minimum_required_operating_system_version,
shape_size
],
 nested_table:{
    row_type:'IntStruct@1.0',
    selector:[
    ]
 }
}</v>
      </c>
      <c r="T4" s="73" t="s">
        <v>178</v>
      </c>
      <c r="U4" s="73" t="s">
        <v>217</v>
      </c>
      <c r="V4" s="73"/>
      <c r="W4" s="73" t="s">
        <v>206</v>
      </c>
      <c r="X4" s="77" t="s">
        <v>158</v>
      </c>
      <c r="Y4" s="73" t="s">
        <v>214</v>
      </c>
      <c r="Z4" s="75" t="s">
        <v>240</v>
      </c>
      <c r="AA4" t="s">
        <v>229</v>
      </c>
      <c r="AB4" s="75" t="s">
        <v>240</v>
      </c>
      <c r="AD4" s="88" t="s">
        <v>256</v>
      </c>
      <c r="AF4" t="s">
        <v>266</v>
      </c>
    </row>
    <row r="5" spans="1:33" ht="139.5" customHeight="1" thickBot="1" x14ac:dyDescent="0.25">
      <c r="A5" s="20" t="s">
        <v>100</v>
      </c>
      <c r="B5" s="21"/>
      <c r="C5" s="21"/>
      <c r="D5" s="21"/>
      <c r="E5" s="67" t="s">
        <v>113</v>
      </c>
      <c r="F5" s="19"/>
      <c r="G5" s="19" t="s">
        <v>138</v>
      </c>
      <c r="H5" s="21" t="s">
        <v>101</v>
      </c>
      <c r="I5" s="19" t="str">
        <f>"{"&amp;CHAR(10)&amp;"ccp_attribute_name:["&amp;CHAR(10)&amp;
     Attribute!$G$20 &amp;CHAR(10)&amp;
"],
 nested_table:{
    row_type:'FractionMeasureVariant@1.0',
    selector:[
    marketplace_id
    ]
 }
}"</f>
        <v>{
ccp_attribute_name:[
minimum_required_operating_system_version
],
 nested_table:{
    row_type:'FractionMeasureVariant@1.0',
    selector:[
    marketplace_id
    ]
 }
}</v>
      </c>
      <c r="J5" s="21"/>
      <c r="K5" s="21"/>
      <c r="P5" s="44" t="str">
        <f>Attribute!$G$20&amp;":[
 {"&amp;CHAR(10)&amp;"marketplace_id:1,"&amp;CHAR(10)&amp;"unit:inches,"&amp;CHAR(10)&amp;"decimal_value:5,"&amp;CHAR(10)&amp;"string_value:1/2"&amp;CHAR(10)&amp;
" }
]"</f>
        <v>minimum_required_operating_system_version:[
 {
marketplace_id:1,
unit:inches,
decimal_value:5,
string_value:1/2
 }
]</v>
      </c>
      <c r="Q5" s="76"/>
      <c r="R5" s="77" t="str">
        <f>IF(ISNUMBER(SEARCH("Provide ",'Display Properties'!D5,1)),"true","false")</f>
        <v>true</v>
      </c>
      <c r="S5" s="78" t="str">
        <f>"{"&amp;CHAR(10)&amp;"ccp_attribute_name:["&amp;CHAR(10)&amp;
     Attribute!$G$19 &amp;"," &amp;CHAR(10)&amp;
     subattribute!$H$11 &amp;CHAR(10)&amp;
"],
 nested_table:{
    row_type:'StringStruct@1.0',
    selector:[
    ]
 }
}"</f>
        <v>{
ccp_attribute_name:[
minimum_required_operating_system_version,
shape_size
],
 nested_table:{
    row_type:'StringStruct@1.0',
    selector:[
    ]
 }
}</v>
      </c>
      <c r="T5" s="77" t="s">
        <v>179</v>
      </c>
      <c r="U5" s="77" t="s">
        <v>220</v>
      </c>
      <c r="V5" s="77"/>
      <c r="W5" s="77" t="s">
        <v>208</v>
      </c>
      <c r="X5" s="73" t="s">
        <v>216</v>
      </c>
      <c r="Y5" s="77"/>
      <c r="Z5" s="79" t="s">
        <v>241</v>
      </c>
      <c r="AA5" s="50" t="s">
        <v>230</v>
      </c>
      <c r="AB5" s="79" t="s">
        <v>241</v>
      </c>
      <c r="AF5" t="s">
        <v>267</v>
      </c>
    </row>
    <row r="6" spans="1:33" ht="145" thickBot="1" x14ac:dyDescent="0.25">
      <c r="A6" s="20" t="s">
        <v>102</v>
      </c>
      <c r="B6" s="21"/>
      <c r="C6" s="21"/>
      <c r="D6" s="21"/>
      <c r="E6" s="67" t="s">
        <v>159</v>
      </c>
      <c r="F6" s="19"/>
      <c r="G6" s="19" t="s">
        <v>139</v>
      </c>
      <c r="H6" s="21" t="s">
        <v>103</v>
      </c>
      <c r="I6" s="45" t="str">
        <f>"{"&amp;CHAR(10)&amp;"ccp_attribute_name:["&amp;CHAR(10)&amp;
     Attribute!$G$20 &amp;CHAR(10)&amp;
"],
 nested_table:{
    row_type:'FractionVariant@1.0',
    selector:[
    marketplace_id
    ]
 }
}"</f>
        <v>{
ccp_attribute_name:[
minimum_required_operating_system_version
],
 nested_table:{
    row_type:'FractionVariant@1.0',
    selector:[
    marketplace_id
    ]
 }
}</v>
      </c>
      <c r="J6" s="21"/>
      <c r="K6" s="21"/>
      <c r="P6" s="44" t="str">
        <f>Attribute!$G$20&amp;":[
 {"&amp;CHAR(10)&amp;"marketplace_id:1,"&amp;CHAR(10)&amp;"decimal_value:5,"&amp;CHAR(10)&amp;"string_value:1/2"&amp;CHAR(10)&amp;
" }
]"</f>
        <v>minimum_required_operating_system_version:[
 {
marketplace_id:1,
decimal_value:5,
string_value:1/2
 }
]</v>
      </c>
      <c r="Q6" s="72"/>
      <c r="R6" s="73">
        <f>COUNTIF(Constraint!F3:F15,"=enumeration")</f>
        <v>1</v>
      </c>
      <c r="S6" s="74" t="str">
        <f>"{"&amp;CHAR(10)&amp;"ccp_attribute_name:["&amp;CHAR(10)&amp;
     Attribute!$G$19 &amp;"," &amp;CHAR(10)&amp;
     subattribute!$H$11 &amp;CHAR(10)&amp;
"],
 nested_table:{
    row_type:'SymbolStruct@1.0',
    selector:[
        ]
 }
}"</f>
        <v>{
ccp_attribute_name:[
minimum_required_operating_system_version,
shape_size
],
 nested_table:{
    row_type:'SymbolStruct@1.0',
    selector:[
        ]
 }
}</v>
      </c>
      <c r="T6" s="73"/>
      <c r="U6" s="73" t="s">
        <v>218</v>
      </c>
      <c r="V6" s="73"/>
      <c r="W6" s="73" t="s">
        <v>204</v>
      </c>
      <c r="X6" t="s">
        <v>249</v>
      </c>
      <c r="Y6" s="73"/>
      <c r="Z6" s="75" t="s">
        <v>242</v>
      </c>
      <c r="AA6" t="s">
        <v>128</v>
      </c>
      <c r="AB6" s="75" t="s">
        <v>242</v>
      </c>
    </row>
    <row r="7" spans="1:33" ht="145" thickBot="1" x14ac:dyDescent="0.25">
      <c r="A7" s="20" t="s">
        <v>104</v>
      </c>
      <c r="B7" s="21"/>
      <c r="C7" s="21"/>
      <c r="D7" s="21"/>
      <c r="E7" s="67" t="s">
        <v>115</v>
      </c>
      <c r="F7" s="19"/>
      <c r="G7" s="19" t="s">
        <v>140</v>
      </c>
      <c r="H7" s="21" t="s">
        <v>106</v>
      </c>
      <c r="I7" s="45" t="str">
        <f>"{"&amp;CHAR(10)&amp;"ccp_attribute_name:["&amp;CHAR(10)&amp;
     Attribute!$G$20 &amp;CHAR(10)&amp;
"],
 nested_table:{
    row_type:'IntVariant@1.0',
    selector:[
    marketplace_id
    ]
 }
}"</f>
        <v>{
ccp_attribute_name:[
minimum_required_operating_system_version
],
 nested_table:{
    row_type:'IntVariant@1.0',
    selector:[
    marketplace_id
    ]
 }
}</v>
      </c>
      <c r="J7" s="21"/>
      <c r="K7" s="21"/>
      <c r="P7" s="44" t="str">
        <f>Attribute!$G$20&amp;":[
 {"&amp;CHAR(10)&amp;"marketplace_id:1,"&amp;CHAR(10)&amp;"value:2"&amp;CHAR(10)&amp;
 "}
]"</f>
        <v>minimum_required_operating_system_version:[
 {
marketplace_id:1,
value:2
}
]</v>
      </c>
      <c r="Q7" s="76"/>
      <c r="R7" s="77">
        <f>COUNTIF(Constraint!F3:F9,"=min_value")</f>
        <v>0</v>
      </c>
      <c r="S7" s="78" t="str">
        <f>"{"&amp;CHAR(10)&amp;"ccp_attribute_name:["&amp;CHAR(10)&amp;
     Attribute!$G$19 &amp;"," &amp;CHAR(10)&amp;
     subattribute!$H$11 &amp;CHAR(10)&amp;
"],
 nested_table:{
    row_type:'TimestampStruct@1.0',
    selector:[
    ]
 }
}"</f>
        <v>{
ccp_attribute_name:[
minimum_required_operating_system_version,
shape_size
],
 nested_table:{
    row_type:'TimestampStruct@1.0',
    selector:[
    ]
 }
}</v>
      </c>
      <c r="T7" s="77"/>
      <c r="U7" s="77" t="s">
        <v>223</v>
      </c>
      <c r="V7" s="78"/>
      <c r="W7" s="77" t="s">
        <v>200</v>
      </c>
      <c r="X7" s="73" t="s">
        <v>248</v>
      </c>
      <c r="Y7" s="77"/>
      <c r="Z7" s="79" t="s">
        <v>243</v>
      </c>
      <c r="AA7" t="s">
        <v>231</v>
      </c>
      <c r="AB7" s="79" t="s">
        <v>243</v>
      </c>
    </row>
    <row r="8" spans="1:33" ht="117" customHeight="1" thickTop="1" thickBot="1" x14ac:dyDescent="0.25">
      <c r="A8" s="20" t="s">
        <v>107</v>
      </c>
      <c r="B8" s="21"/>
      <c r="C8" s="21"/>
      <c r="D8" s="21"/>
      <c r="E8" s="21" t="s">
        <v>270</v>
      </c>
      <c r="F8" s="19"/>
      <c r="G8" s="19" t="s">
        <v>141</v>
      </c>
      <c r="H8" s="21" t="s">
        <v>142</v>
      </c>
      <c r="I8" s="45" t="str">
        <f>"{"&amp;CHAR(10)&amp;"ccp_attribute_name:["&amp;CHAR(10)&amp;
     Attribute!$G$20 &amp;CHAR(10)&amp;
"],
 nested_table:{
    row_type:'ItemDepthWidthHeight@1.0',
    selector:[
    marketplace_id
    ]
 }
}"</f>
        <v>{
ccp_attribute_name:[
minimum_required_operating_system_version
],
 nested_table:{
    row_type:'ItemDepthWidthHeight@1.0',
    selector:[
    marketplace_id
    ]
 }
}</v>
      </c>
      <c r="J8" s="19" t="s">
        <v>144</v>
      </c>
      <c r="K8" s="21"/>
      <c r="P8" s="92" t="str">
        <f>Attribute!$C$21&amp;":[
{"&amp;CHAR(10)&amp;"marketplace_id:1,"&amp;CHAR(10)&amp;"depth:{"&amp;CHAR(10)&amp;"unit:inches,"&amp;CHAR(10)&amp;"value:42"&amp;CHAR(10)&amp;"},"&amp;CHAR(10)&amp;"width:{"&amp;CHAR(10)&amp;"unit:inches,"&amp;CHAR(10)&amp;"value:42"&amp;CHAR(10)&amp;"},"&amp;CHAR(10)&amp;"height:{"&amp;CHAR(10)&amp;"unit:inches,"&amp;CHAR(10)&amp;"value:42"&amp;CHAR(10)&amp;"}"&amp;CHAR(10)&amp;"}]"</f>
        <v>minimum_required_operating_system_version:[
{
marketplace_id:1,
depth:{
unit:inches,
value:42
},
width:{
unit:inches,
value:42
},
height:{
unit:inches,
value:42
}
}]</v>
      </c>
      <c r="Q8" s="72"/>
      <c r="R8" s="80">
        <f>COUNTIF(Constraint!F3:F9,"=max_value")</f>
        <v>0</v>
      </c>
      <c r="S8" s="81" t="str">
        <f>"{"&amp;CHAR(10)&amp;"ccp_attribute_name:["&amp;CHAR(10)&amp;
     Attribute!$G$19 &amp;"," &amp;CHAR(10)&amp;
     subattribute!$H$11 &amp;CHAR(10)&amp;
"],
 nested_table:{
    row_type:'UnitDecimalStruct@1.0',
    selector:[
    ]
 }
}"</f>
        <v>{
ccp_attribute_name:[
minimum_required_operating_system_version,
shape_size
],
 nested_table:{
    row_type:'UnitDecimalStruct@1.0',
    selector:[
    ]
 }
}</v>
      </c>
      <c r="T8" s="73"/>
      <c r="U8" s="73" t="s">
        <v>221</v>
      </c>
      <c r="V8" s="73"/>
      <c r="W8" s="73" t="s">
        <v>202</v>
      </c>
      <c r="X8" s="77" t="s">
        <v>287</v>
      </c>
      <c r="Y8" s="73"/>
      <c r="Z8" s="75" t="s">
        <v>244</v>
      </c>
      <c r="AA8" s="50" t="s">
        <v>232</v>
      </c>
      <c r="AB8" s="75" t="s">
        <v>244</v>
      </c>
    </row>
    <row r="9" spans="1:33" ht="134.5" customHeight="1" thickBot="1" x14ac:dyDescent="0.25">
      <c r="A9" s="20" t="s">
        <v>108</v>
      </c>
      <c r="B9" s="21"/>
      <c r="C9" s="21"/>
      <c r="D9" s="21"/>
      <c r="E9" s="67" t="s">
        <v>271</v>
      </c>
      <c r="F9" s="19"/>
      <c r="G9" s="19" t="s">
        <v>137</v>
      </c>
      <c r="H9" s="21" t="s">
        <v>269</v>
      </c>
      <c r="I9" s="45" t="str">
        <f>"{"&amp;CHAR(10)&amp;"ccp_attribute_name:["&amp;CHAR(10)&amp;
     Attribute!$G$20 &amp;CHAR(10)&amp;
"],
 nested_table:{
    row_type:'ItemDiameterLength@1.0',
    selector:[
    marketplace_id
    ]
 }
}"</f>
        <v>{
ccp_attribute_name:[
minimum_required_operating_system_version
],
 nested_table:{
    row_type:'ItemDiameterLength@1.0',
    selector:[
    marketplace_id
    ]
 }
}</v>
      </c>
      <c r="J9" s="21"/>
      <c r="K9" s="21"/>
      <c r="P9" s="92" t="str">
        <f>Attribute!$C$21&amp;":[
{"&amp;CHAR(10)&amp;"marketplace_id:1,"&amp;CHAR(10)&amp;"diameter:{"&amp;CHAR(10)&amp;"unit:inches,"&amp;CHAR(10)&amp;"value:42"&amp;CHAR(10)&amp;"},"&amp;CHAR(10)&amp;"length:{"&amp;CHAR(10)&amp;"unit:inches,"&amp;CHAR(10)&amp;"value:42"&amp;CHAR(10)&amp;"}"&amp;CHAR(10)&amp;"}]"</f>
        <v>minimum_required_operating_system_version:[
{
marketplace_id:1,
diameter:{
unit:inches,
value:42
},
length:{
unit:inches,
value:42
}
}]</v>
      </c>
      <c r="Q9" s="76"/>
      <c r="R9" s="82">
        <f>COUNTIF(Constraint!F3:F9,"=max_length")</f>
        <v>0</v>
      </c>
      <c r="S9" s="78" t="str">
        <f>"{"&amp;CHAR(10)&amp;"ccp_attribute_name:["&amp;CHAR(10)&amp;
     Attribute!$G$19 &amp;"," &amp;CHAR(10)&amp;
     subattribute!$H$11 &amp;CHAR(10)&amp;
"],
 nested_table:{
    row_type:'LocalizedString@1.0',
    selector:[
    language_tag
    ]
 }
}"</f>
        <v>{
ccp_attribute_name:[
minimum_required_operating_system_version,
shape_size
],
 nested_table:{
    row_type:'LocalizedString@1.0',
    selector:[
    language_tag
    ]
 }
}</v>
      </c>
      <c r="T9" s="77"/>
      <c r="U9" s="77" t="s">
        <v>202</v>
      </c>
      <c r="V9" s="77"/>
      <c r="W9" s="77" t="s">
        <v>207</v>
      </c>
      <c r="X9" s="77"/>
      <c r="Y9" s="77"/>
      <c r="Z9" s="79" t="s">
        <v>245</v>
      </c>
      <c r="AA9" t="s">
        <v>233</v>
      </c>
      <c r="AB9" s="79" t="s">
        <v>245</v>
      </c>
    </row>
    <row r="10" spans="1:33" ht="209" thickBot="1" x14ac:dyDescent="0.25">
      <c r="A10" s="20" t="s">
        <v>110</v>
      </c>
      <c r="B10" s="21"/>
      <c r="C10" s="21"/>
      <c r="D10" s="21"/>
      <c r="E10" s="67" t="s">
        <v>290</v>
      </c>
      <c r="F10" s="101"/>
      <c r="G10" s="19" t="s">
        <v>161</v>
      </c>
      <c r="H10" s="21"/>
      <c r="I10" s="45" t="str">
        <f>"{"&amp;CHAR(10)&amp;"ccp_attribute_name:["&amp;CHAR(10)&amp;
     Attribute!$G$20 &amp;CHAR(10)&amp;
"],
 nested_table:{
    row_type:'ItemDiameterThickness@1.0',
    selector:[
    marketplace_id
    ]
 }
}"</f>
        <v>{
ccp_attribute_name:[
minimum_required_operating_system_version
],
 nested_table:{
    row_type:'ItemDiameterThickness@1.0',
    selector:[
    marketplace_id
    ]
 }
}</v>
      </c>
      <c r="J10" s="21"/>
      <c r="K10" s="21"/>
      <c r="P10" s="92" t="str">
        <f>Attribute!$C$21&amp;":[
{"&amp;CHAR(10)&amp;"marketplace_id:1,"&amp;CHAR(10)&amp;"diameter:{"&amp;CHAR(10)&amp;"unit:inches,"&amp;CHAR(10)&amp;"value:42"&amp;CHAR(10)&amp;"},"&amp;CHAR(10)&amp;"thickness:{"&amp;CHAR(10)&amp;"unit:inches,"&amp;CHAR(10)&amp;"value:42"&amp;CHAR(10)&amp;"}"&amp;CHAR(10)&amp;"}]"</f>
        <v>minimum_required_operating_system_version:[
{
marketplace_id:1,
diameter:{
unit:inches,
value:42
},
thickness:{
unit:inches,
value:42
}
}]</v>
      </c>
      <c r="Q10" s="72"/>
      <c r="R10" s="73" t="b">
        <f>IF(ISNUMBER(SEARCH("_",Attribute!C39,1)),TRUE,FALSE)</f>
        <v>0</v>
      </c>
      <c r="S10" s="74" t="str">
        <f>"{"&amp;CHAR(10)&amp;"ccp_attribute_name:["&amp;CHAR(10)&amp;
     Attribute!$G$19 &amp;"," &amp;CHAR(10)&amp;
     subattribute!$H$11 &amp;CHAR(10)&amp;
"],
 nested_table:{
    row_type:'FractionMeasure@1.0',
    selector:[
    ]
 }
}"</f>
        <v>{
ccp_attribute_name:[
minimum_required_operating_system_version,
shape_size
],
 nested_table:{
    row_type:'FractionMeasure@1.0',
    selector:[
    ]
 }
}</v>
      </c>
      <c r="T10" s="73"/>
      <c r="U10" s="73" t="s">
        <v>225</v>
      </c>
      <c r="V10" s="73"/>
      <c r="W10" s="73" t="s">
        <v>201</v>
      </c>
      <c r="X10" s="73"/>
      <c r="Y10" s="73"/>
      <c r="Z10" s="75" t="s">
        <v>246</v>
      </c>
      <c r="AA10" t="s">
        <v>129</v>
      </c>
      <c r="AB10" s="75" t="s">
        <v>246</v>
      </c>
    </row>
    <row r="11" spans="1:33" ht="194" thickTop="1" thickBot="1" x14ac:dyDescent="0.25">
      <c r="A11" s="20" t="s">
        <v>112</v>
      </c>
      <c r="B11" s="21"/>
      <c r="C11" s="21"/>
      <c r="D11" s="21"/>
      <c r="E11" s="67" t="s">
        <v>272</v>
      </c>
      <c r="G11" s="19" t="s">
        <v>172</v>
      </c>
      <c r="H11" s="21"/>
      <c r="I11" s="45" t="str">
        <f>"{"&amp;CHAR(10)&amp;"ccp_attribute_name:["&amp;CHAR(10)&amp;
     Attribute!$G$20 &amp;CHAR(10)&amp;
"],
 nested_table:{
    row_type:'ItemHeightThickness@1.0',
    selector:[
    marketplace_id
    ]
 }
}"</f>
        <v>{
ccp_attribute_name:[
minimum_required_operating_system_version
],
 nested_table:{
    row_type:'ItemHeightThickness@1.0',
    selector:[
    marketplace_id
    ]
 }
}</v>
      </c>
      <c r="J11" s="21"/>
      <c r="K11" s="21"/>
      <c r="P11" s="92" t="s">
        <v>294</v>
      </c>
      <c r="Q11" s="83"/>
      <c r="R11" s="68">
        <f>COUNTIF(Constraint!B5:B9,"* *")</f>
        <v>0</v>
      </c>
      <c r="S11" s="84" t="str">
        <f>"{"&amp;CHAR(10)&amp;"ccp_attribute_name:["&amp;CHAR(10)&amp;
     Attribute!$G$19 &amp;"," &amp;CHAR(10)&amp;
     subattribute!$H$11 &amp;CHAR(10)&amp;
"],
 nested_table:{
    row_type:'NormalizedUnitDecimalStruct@1.0',
    selector:[
    ]
 }
}"</f>
        <v>{
ccp_attribute_name:[
minimum_required_operating_system_version,
shape_size
],
 nested_table:{
    row_type:'NormalizedUnitDecimalStruct@1.0',
    selector:[
    ]
 }
}</v>
      </c>
      <c r="T11" s="68"/>
      <c r="U11" s="68" t="s">
        <v>224</v>
      </c>
      <c r="V11" s="68"/>
      <c r="W11" s="68" t="s">
        <v>158</v>
      </c>
      <c r="X11" s="68"/>
      <c r="Y11" s="68"/>
      <c r="Z11" s="85" t="s">
        <v>247</v>
      </c>
      <c r="AA11" t="s">
        <v>234</v>
      </c>
      <c r="AB11" s="85" t="s">
        <v>247</v>
      </c>
    </row>
    <row r="12" spans="1:33" ht="204.5" customHeight="1" thickTop="1" thickBot="1" x14ac:dyDescent="0.25">
      <c r="A12" s="20" t="s">
        <v>114</v>
      </c>
      <c r="B12" s="21"/>
      <c r="C12" s="21"/>
      <c r="D12" s="21"/>
      <c r="E12" s="21" t="s">
        <v>274</v>
      </c>
      <c r="G12" s="19" t="s">
        <v>173</v>
      </c>
      <c r="H12" s="21"/>
      <c r="I12" s="45" t="str">
        <f>"{"&amp;CHAR(10)&amp;"ccp_attribute_name:["&amp;CHAR(10)&amp;
     Attribute!$G$20 &amp;CHAR(10)&amp;
"],
 nested_table:{
    row_type:'ItemLengthWidthDepth@1.0',
    selector:[
    marketplace_id
    ]
 }
}"</f>
        <v>{
ccp_attribute_name:[
minimum_required_operating_system_version
],
 nested_table:{
    row_type:'ItemLengthWidthDepth@1.0',
    selector:[
    marketplace_id
    ]
 }
}</v>
      </c>
      <c r="J12" s="21"/>
      <c r="K12" s="21"/>
      <c r="P12" s="92" t="str">
        <f>Attribute!$C$21&amp;":[
{"&amp;CHAR(10)&amp;"marketplace_id:1,"&amp;CHAR(10)&amp;"length:{"&amp;CHAR(10)&amp;"unit:inches,"&amp;CHAR(10)&amp;"value:42"&amp;CHAR(10)&amp;"},"&amp;CHAR(10)&amp;"width:{"&amp;CHAR(10)&amp;"unit:inches,"&amp;CHAR(10)&amp;"value:42"&amp;CHAR(10)&amp;"},"&amp;CHAR(10)&amp;"depth:{"&amp;CHAR(10)&amp;"unit:inches,"&amp;CHAR(10)&amp;"value:42"&amp;CHAR(10)&amp;"}"&amp;CHAR(10)&amp;"}]"</f>
        <v>minimum_required_operating_system_version:[
{
marketplace_id:1,
length:{
unit:inches,
value:42
},
width:{
unit:inches,
value:42
},
depth:{
unit:inches,
value:42
}
}]</v>
      </c>
      <c r="R12">
        <f>COUNTIF('Attribute Properties'!H2:H2,"=visible_editable")</f>
        <v>1</v>
      </c>
      <c r="S12" s="60" t="str">
        <f>"{"&amp;CHAR(10)&amp;"ccp_attribute_name:["&amp;CHAR(10)&amp;
     Attribute!$G$19 &amp;"," &amp;CHAR(10)&amp;
     subattribute!$H$11 &amp;CHAR(10)&amp;
"],
 nested_table:{
    row_type:'Price@1.0',
    selector:[
    ]
 }
}"</f>
        <v>{
ccp_attribute_name:[
minimum_required_operating_system_version,
shape_size
],
 nested_table:{
    row_type:'Price@1.0',
    selector:[
    ]
 }
}</v>
      </c>
      <c r="U12" t="s">
        <v>226</v>
      </c>
      <c r="AA12" t="s">
        <v>210</v>
      </c>
      <c r="AB12" t="s">
        <v>212</v>
      </c>
    </row>
    <row r="13" spans="1:33" ht="210" thickTop="1" thickBot="1" x14ac:dyDescent="0.25">
      <c r="A13" s="20" t="s">
        <v>116</v>
      </c>
      <c r="B13" s="21"/>
      <c r="C13" s="21"/>
      <c r="D13" s="21"/>
      <c r="E13" s="101" t="s">
        <v>273</v>
      </c>
      <c r="F13" s="21"/>
      <c r="G13" t="s">
        <v>278</v>
      </c>
      <c r="H13" s="21"/>
      <c r="I13" s="45" t="str">
        <f>"{"&amp;CHAR(10)&amp;"ccp_attribute_name:["&amp;CHAR(10)&amp;
     Attribute!$G$20 &amp;CHAR(10)&amp;
"],
 nested_table:{
    row_type:'ItemLengthWidth@1.0',
    selector:[
    marketplace_id
    ]
 }
}"</f>
        <v>{
ccp_attribute_name:[
minimum_required_operating_system_version
],
 nested_table:{
    row_type:'ItemLengthWidth@1.0',
    selector:[
    marketplace_id
    ]
 }
}</v>
      </c>
      <c r="J13" s="21"/>
      <c r="K13" s="21"/>
      <c r="P13" s="92" t="str">
        <f>Attribute!$C$21&amp;":[
{"&amp;CHAR(10)&amp;"marketplace_id:1,"&amp;CHAR(10)&amp;"length:{"&amp;CHAR(10)&amp;"unit:inches,"&amp;CHAR(10)&amp;"value:42"&amp;CHAR(10)&amp;"},"&amp;CHAR(10)&amp;"width:{"&amp;CHAR(10)&amp;"unit:inches,"&amp;CHAR(10)&amp;"value:42"&amp;CHAR(10)&amp;"},"&amp;CHAR(10)&amp;"}]"</f>
        <v>minimum_required_operating_system_version:[
{
marketplace_id:1,
length:{
unit:inches,
value:42
},
width:{
unit:inches,
value:42
},
}]</v>
      </c>
      <c r="R13" t="b">
        <f>IF(ISNUMBER(SEARCH(" ",Attribute!C17,3)),TRUE,FALSE)</f>
        <v>1</v>
      </c>
      <c r="S13" s="60"/>
      <c r="AA13" t="s">
        <v>235</v>
      </c>
      <c r="AB13" t="s">
        <v>211</v>
      </c>
    </row>
    <row r="14" spans="1:33" ht="173.25" customHeight="1" thickTop="1" thickBot="1" x14ac:dyDescent="0.25">
      <c r="A14" s="20" t="s">
        <v>118</v>
      </c>
      <c r="B14" s="21"/>
      <c r="C14" s="21"/>
      <c r="D14" s="21"/>
      <c r="E14" s="95" t="s">
        <v>275</v>
      </c>
      <c r="H14" s="21"/>
      <c r="I14" s="45" t="str">
        <f>"{"&amp;CHAR(10)&amp;"ccp_attribute_name:["&amp;CHAR(10)&amp;
     Attribute!$G$20 &amp;CHAR(10)&amp;
"],
 nested_table:{
    row_type:'ItemLengthWidthHeight@1.0',
    selector:[
    marketplace_id
    ]
 }
}"</f>
        <v>{
ccp_attribute_name:[
minimum_required_operating_system_version
],
 nested_table:{
    row_type:'ItemLengthWidthHeight@1.0',
    selector:[
    marketplace_id
    ]
 }
}</v>
      </c>
      <c r="J14" s="21"/>
      <c r="K14" s="21"/>
      <c r="P14" s="92" t="str">
        <f>Attribute!$C$21&amp;":[
{"&amp;CHAR(10)&amp;"marketplace_id:1,"&amp;CHAR(10)&amp;"length:{"&amp;CHAR(10)&amp;"unit:inches,"&amp;CHAR(10)&amp;"value:42"&amp;CHAR(10)&amp;"},"&amp;CHAR(10)&amp;"width:{"&amp;CHAR(10)&amp;"unit:inches,"&amp;CHAR(10)&amp;"value:42"&amp;CHAR(10)&amp;"},"&amp;CHAR(10)&amp;"height:{"&amp;CHAR(10)&amp;"unit:inches,"&amp;CHAR(10)&amp;"value:42"&amp;CHAR(10)&amp;"}"&amp;CHAR(10)&amp;"}]"</f>
        <v>minimum_required_operating_system_version:[
{
marketplace_id:1,
length:{
unit:inches,
value:42
},
width:{
unit:inches,
value:42
},
height:{
unit:inches,
value:42
}
}]</v>
      </c>
      <c r="R14">
        <f>COUNTIF('Display Properties'!B3:B21,"=unit")</f>
        <v>0</v>
      </c>
      <c r="S14" s="60"/>
      <c r="AA14" t="s">
        <v>213</v>
      </c>
      <c r="AB14" t="s">
        <v>229</v>
      </c>
    </row>
    <row r="15" spans="1:33" ht="274" thickTop="1" thickBot="1" x14ac:dyDescent="0.25">
      <c r="E15" s="96" t="s">
        <v>276</v>
      </c>
      <c r="I15" s="45" t="str">
        <f>"{"&amp;CHAR(10)&amp;"ccp_attribute_name:["&amp;CHAR(10)&amp;
     Attribute!$G$20 &amp;CHAR(10)&amp;
"],
 nested_table:{
    row_type:'ItemLengthWidthThickness@1.0',
    selector:[
    marketplace_id
    ]
 }
}"</f>
        <v>{
ccp_attribute_name:[
minimum_required_operating_system_version
],
 nested_table:{
    row_type:'ItemLengthWidthThickness@1.0',
    selector:[
    marketplace_id
    ]
 }
}</v>
      </c>
      <c r="P15" s="92" t="str">
        <f>Attribute!$C$21&amp;":[
{"&amp;CHAR(10)&amp;"marketplace_id:1,"&amp;CHAR(10)&amp;"length:{"&amp;CHAR(10)&amp;"unit:inches,"&amp;CHAR(10)&amp;"value:42"&amp;CHAR(10)&amp;"},"&amp;CHAR(10)&amp;"width:{"&amp;CHAR(10)&amp;"unit:inches,"&amp;CHAR(10)&amp;"value:42"&amp;CHAR(10)&amp;"},"&amp;CHAR(10)&amp;"thickness:{"&amp;CHAR(10)&amp;"unit:inches,"&amp;CHAR(10)&amp;"value:42"&amp;CHAR(10)&amp;"}"&amp;CHAR(10)&amp;"}]"</f>
        <v>minimum_required_operating_system_version:[
{
marketplace_id:1,
length:{
unit:inches,
value:42
},
width:{
unit:inches,
value:42
},
thickness:{
unit:inches,
value:42
}
}]</v>
      </c>
      <c r="R15">
        <f>COUNTIF('Cust Rel Requirements'!E2:E5,"=refinement_eligible_attribute")</f>
        <v>0</v>
      </c>
      <c r="S15" s="60"/>
      <c r="AA15" s="50" t="s">
        <v>236</v>
      </c>
      <c r="AB15" s="50" t="s">
        <v>230</v>
      </c>
    </row>
    <row r="16" spans="1:33" ht="274" thickTop="1" thickBot="1" x14ac:dyDescent="0.25">
      <c r="E16" s="21" t="s">
        <v>291</v>
      </c>
      <c r="I16" s="45" t="str">
        <f>"{"&amp;CHAR(10)&amp;"ccp_attribute_name:["&amp;CHAR(10)&amp;
     Attribute!$G$20 &amp;CHAR(10)&amp;
"],
 nested_table:{
    row_type:'ItemWidthDiameterHeight@1.0',
    selector:[
    marketplace_id
    ]
 }
}"</f>
        <v>{
ccp_attribute_name:[
minimum_required_operating_system_version
],
 nested_table:{
    row_type:'ItemWidthDiameterHeight@1.0',
    selector:[
    marketplace_id
    ]
 }
}</v>
      </c>
      <c r="P16" s="92" t="str">
        <f>Attribute!$C$21&amp;":[
{"&amp;CHAR(10)&amp;"marketplace_id:1,"&amp;CHAR(10)&amp;"width:{"&amp;CHAR(10)&amp;"unit:inches,"&amp;CHAR(10)&amp;"value:42"&amp;CHAR(10)&amp;"},"&amp;CHAR(10)&amp;"diameter:{"&amp;CHAR(10)&amp;"unit:inches,"&amp;CHAR(10)&amp;"value:42"&amp;CHAR(10)&amp;"},"&amp;CHAR(10)&amp;"height:{"&amp;CHAR(10)&amp;"unit:inches,"&amp;CHAR(10)&amp;"value:42"&amp;CHAR(10)&amp;"}"&amp;CHAR(10)&amp;"}]"</f>
        <v>minimum_required_operating_system_version:[
{
marketplace_id:1,
width:{
unit:inches,
value:42
},
diameter:{
unit:inches,
value:42
},
height:{
unit:inches,
value:42
}
}]</v>
      </c>
      <c r="R16">
        <f>COUNTIF('Cust Rel Requirements'!E2:E6,"=refinement_partially_eligible_attribute")</f>
        <v>0</v>
      </c>
      <c r="S16" s="60"/>
      <c r="AA16" t="s">
        <v>237</v>
      </c>
      <c r="AB16" t="s">
        <v>128</v>
      </c>
    </row>
    <row r="17" spans="5:28" ht="209" thickTop="1" x14ac:dyDescent="0.2">
      <c r="E17" s="67" t="s">
        <v>292</v>
      </c>
      <c r="I17" s="45" t="str">
        <f>"{"&amp;CHAR(10)&amp;"ccp_attribute_name:["&amp;CHAR(10)&amp;
     Attribute!$G$20 &amp;CHAR(10)&amp;
"],
 nested_table:{
    row_type:'ItemWidthHeight@1.0',
    selector:[
    marketplace_id
    ]
 }
}"</f>
        <v>{
ccp_attribute_name:[
minimum_required_operating_system_version
],
 nested_table:{
    row_type:'ItemWidthHeight@1.0',
    selector:[
    marketplace_id
    ]
 }
}</v>
      </c>
      <c r="P17" s="92" t="str">
        <f>Attribute!$C$21&amp;":[
{"&amp;CHAR(10)&amp;"marketplace_id:1,"&amp;CHAR(10)&amp;"width:{"&amp;CHAR(10)&amp;"unit:inches,"&amp;CHAR(10)&amp;"value:42"&amp;CHAR(10)&amp;"},"&amp;CHAR(10)&amp;"height:{"&amp;CHAR(10)&amp;"unit:inches,"&amp;CHAR(10)&amp;"value:42"&amp;CHAR(10)&amp;"},"&amp;CHAR(10)&amp;"}]"</f>
        <v>minimum_required_operating_system_version:[
{
marketplace_id:1,
width:{
unit:inches,
value:42
},
height:{
unit:inches,
value:42
},
}]</v>
      </c>
      <c r="R17">
        <f>COUNTIF('Cust Rel Requirements'!E2:E7,"=refinement_ineligible_attribute")</f>
        <v>0</v>
      </c>
      <c r="S17" s="60"/>
      <c r="AA17" t="s">
        <v>279</v>
      </c>
      <c r="AB17" t="s">
        <v>231</v>
      </c>
    </row>
    <row r="18" spans="5:28" ht="165.5" customHeight="1" x14ac:dyDescent="0.2">
      <c r="E18" s="67" t="s">
        <v>293</v>
      </c>
      <c r="I18" s="45" t="str">
        <f>"{"&amp;CHAR(10)&amp;"ccp_attribute_name:["&amp;CHAR(10)&amp;
     Attribute!$G$20 &amp;CHAR(10)&amp;
"],
 nested_table:{
    row_type:'ItemWidthHeightThickness@1.0',
    selector:[
    marketplace_id
    ]
 }
}"</f>
        <v>{
ccp_attribute_name:[
minimum_required_operating_system_version
],
 nested_table:{
    row_type:'ItemWidthHeightThickness@1.0',
    selector:[
    marketplace_id
    ]
 }
}</v>
      </c>
      <c r="P18" s="92" t="str">
        <f>Attribute!$C$21&amp;":[
{"&amp;CHAR(10)&amp;"marketplace_id:1,"&amp;CHAR(10)&amp;"width:{"&amp;CHAR(10)&amp;"unit:inches,"&amp;CHAR(10)&amp;"value:42"&amp;CHAR(10)&amp;"},"&amp;CHAR(10)&amp;"height:{"&amp;CHAR(10)&amp;"unit:inches,"&amp;CHAR(10)&amp;"value:42"&amp;CHAR(10)&amp;"},"&amp;CHAR(10)&amp;"thickness:{"&amp;CHAR(10)&amp;"unit:inches,"&amp;CHAR(10)&amp;"value:42"&amp;CHAR(10)&amp;"}"&amp;CHAR(10)&amp;"}]"</f>
        <v>minimum_required_operating_system_version:[
{
marketplace_id:1,
width:{
unit:inches,
value:42
},
height:{
unit:inches,
value:42
},
thickness:{
unit:inches,
value:42
}
}]</v>
      </c>
      <c r="R18" t="b">
        <f>IF(ISNUMBER(SEARCH(" ",Attribute!C17,1)),TRUE,FALSE)</f>
        <v>1</v>
      </c>
      <c r="AB18" s="50" t="s">
        <v>232</v>
      </c>
    </row>
    <row r="19" spans="5:28" ht="157" x14ac:dyDescent="0.2">
      <c r="E19" s="94" t="s">
        <v>97</v>
      </c>
      <c r="I19" s="45" t="str">
        <f>"{"&amp;CHAR(10)&amp;"ccp_attribute_name:["&amp;CHAR(10)&amp;
     Attribute!$G$20 &amp;CHAR(10) &amp;
"],
 nested_table:{
  row_type:'LocalizedStringVariant@1.0',
    selector:[
      marketplace_id,
      language_tag
    ]
}
 }"</f>
        <v>{
ccp_attribute_name:[
minimum_required_operating_system_version
],
 nested_table:{
  row_type:'LocalizedStringVariant@1.0',
    selector:[
      marketplace_id,
      language_tag
    ]
}
 }</v>
      </c>
      <c r="P19" s="44" t="str">
        <f>Attribute!G20&amp;":[
 {"&amp;CHAR(10)&amp;"marketplace_id:1,"&amp;CHAR(10)&amp;"language_tag:en_US,"&amp;CHAR(10)&amp;"value:"&amp;"'" &amp;'Display Properties'!D7&amp;"'
 }
]"</f>
        <v>minimum_required_operating_system_version:[
 {
marketplace_id:1,
language_tag:en_US,
value:'Windows 11'
 }
]</v>
      </c>
      <c r="R19" t="str">
        <f>IF(OR(Attribute!C15="SymbolVariant@1.0",Attribute!C15="LocalizedStringVariant@1.0",Attribute!C15="BoolVariant@1.0"),"True ","False")</f>
        <v xml:space="preserve">True </v>
      </c>
      <c r="AB19" t="s">
        <v>233</v>
      </c>
    </row>
    <row r="20" spans="5:28" ht="157" x14ac:dyDescent="0.2">
      <c r="E20" s="94" t="s">
        <v>283</v>
      </c>
      <c r="I20" s="99" t="str">
        <f>"{"&amp; CHAR(10)&amp; "ccp_attribute_name:["&amp;CHAR(10) &amp;
     Attribute!$G$20 &amp; CHAR(10) &amp;"],
  nested_table:{
    selector:[
      marketplace_id,
      currency
    ],
    row_type:'NormalizedUnitDecimalVariant@1.0'
  }
}"</f>
        <v>{
ccp_attribute_name:[
minimum_required_operating_system_version
],
  nested_table:{
    selector:[
      marketplace_id,
      currency
    ],
    row_type:'NormalizedUnitDecimalVariant@1.0'
  }
}</v>
      </c>
      <c r="P20" s="44" t="str">
        <f>Attribute!$G$20&amp;":[
 {"&amp;CHAR(10)&amp;"marketplace_id:1,"&amp;CHAR(10)&amp;"unit:inches,"&amp;CHAR(10)&amp;"decimal_value:5"&amp;"
 }
]"</f>
        <v>minimum_required_operating_system_version:[
 {
marketplace_id:1,
unit:inches,
decimal_value:5
 }
]</v>
      </c>
      <c r="R20" t="str">
        <f>IF(OR(subattribute!B5="SymbolStruct@1.0",subattribute!B5="LocalizedString@1.0",subattribute!B5="BoolStruct@1.0"),"True ","False")</f>
        <v xml:space="preserve">True </v>
      </c>
      <c r="AB20" t="s">
        <v>129</v>
      </c>
    </row>
    <row r="21" spans="5:28" ht="157" x14ac:dyDescent="0.2">
      <c r="E21" s="102" t="s">
        <v>151</v>
      </c>
      <c r="I21" s="99" t="str">
        <f>"{"&amp; CHAR(10)&amp; "ccp_attribute_name:["&amp;CHAR(10) &amp;
     Attribute!$G$20 &amp; CHAR(10) &amp;"],
  nested_table:{
    selector:[
      marketplace_id,
      currency
    ],
    row_type:'PriceVariant@1.0'
  }
}"</f>
        <v>{
ccp_attribute_name:[
minimum_required_operating_system_version
],
  nested_table:{
    selector:[
      marketplace_id,
      currency
    ],
    row_type:'PriceVariant@1.0'
  }
}</v>
      </c>
      <c r="P21" s="44" t="str">
        <f>Attribute!$G$20&amp;":[
 {"&amp;CHAR(10)&amp;"marketplace_id:1,"&amp;CHAR(10)&amp;"currency:USD,"&amp;CHAR(10)&amp;"decimal_value:5"&amp;"
 }
]"</f>
        <v>minimum_required_operating_system_version:[
 {
marketplace_id:1,
currency:USD,
decimal_value:5
 }
]</v>
      </c>
      <c r="R21" t="str">
        <f>IF(ISNUMBER(SEARCH(" ",subattribute!B7,1)),"true","false")</f>
        <v>false</v>
      </c>
      <c r="AB21" t="s">
        <v>234</v>
      </c>
    </row>
    <row r="22" spans="5:28" ht="144" x14ac:dyDescent="0.2">
      <c r="E22" t="s">
        <v>105</v>
      </c>
      <c r="I22" s="45" t="str">
        <f>"{"&amp;CHAR(10)&amp;"ccp_attribute_name:["&amp;CHAR(10)&amp;
     Attribute!$G$20 &amp;CHAR(10)&amp;
"],
 nested_table:{
    row_type:'StringVariant@1.0',
    selector:[
    marketplace_id
    ]
 }
}"</f>
        <v>{
ccp_attribute_name:[
minimum_required_operating_system_version
],
 nested_table:{
    row_type:'StringVariant@1.0',
    selector:[
    marketplace_id
    ]
 }
}</v>
      </c>
      <c r="P22" s="44" t="str">
        <f>Attribute!$G$20&amp;":[
 {"&amp;CHAR(10)&amp;"marketplace_id:1,"&amp;CHAR(10)&amp;"value:0123658798787"&amp;"
 }
]"</f>
        <v>minimum_required_operating_system_version:[
 {
marketplace_id:1,
value:0123658798787
 }
]</v>
      </c>
      <c r="R22" t="str">
        <f>IF(ISNUMBER(SEARCH("_",subattribute!B2,2)),"true","false")</f>
        <v>false</v>
      </c>
      <c r="AB22" t="s">
        <v>210</v>
      </c>
    </row>
    <row r="23" spans="5:28" ht="144" x14ac:dyDescent="0.2">
      <c r="E23" s="67" t="s">
        <v>20</v>
      </c>
      <c r="I23" s="99" t="str">
        <f>"{"&amp;CHAR(10)&amp;"ccp_attribute_name:["&amp;CHAR(10)&amp;
     Attribute!$G$20 &amp;CHAR(10)&amp;
"],
 nested_table:{
    row_type:'SymbolVariant@1.0',
    selector:[
    marketplace_id
    ]
 }
}"</f>
        <v>{
ccp_attribute_name:[
minimum_required_operating_system_version
],
 nested_table:{
    row_type:'SymbolVariant@1.0',
    selector:[
    marketplace_id
    ]
 }
}</v>
      </c>
      <c r="P23" s="44" t="str">
        <f>Attribute!$G$20&amp;":[
 {"&amp;CHAR(10)&amp;"marketplace_id:1,"&amp;CHAR(10)&amp;"value:"&amp;Enumeration!C2&amp;"
 }
]"</f>
        <v>minimum_required_operating_system_version:[
 {
marketplace_id:1,
value:windows_1_0
 }
]</v>
      </c>
      <c r="R23" t="str">
        <f>IF(ISNUMBER(SEARCH("_",subattribute!B3,2)),"true","false")</f>
        <v>true</v>
      </c>
      <c r="AB23" t="s">
        <v>235</v>
      </c>
    </row>
    <row r="24" spans="5:28" ht="157" x14ac:dyDescent="0.2">
      <c r="E24" s="67" t="s">
        <v>281</v>
      </c>
      <c r="I24" s="19" t="str">
        <f>"{"&amp;CHAR(10)&amp;"ccp_attribute_name:["&amp;CHAR(10)&amp;
     Attribute!$G$20 &amp; CHAR(10)&amp;
  "],
  status:active,
  nested_table:{
    row_type:'TimeStampVariant@1.0',
    selector:[
      marketplace_id
    ]
  }
}"</f>
        <v>{
ccp_attribute_name:[
minimum_required_operating_system_version
],
  status:active,
  nested_table:{
    row_type:'TimeStampVariant@1.0',
    selector:[
      marketplace_id
    ]
  }
}</v>
      </c>
      <c r="P24" s="44" t="str">
        <f>Attribute!$G$20&amp;":[
 {"&amp;CHAR(10)&amp;"marketplace_id:1,"&amp;CHAR(10)&amp;"value:2019-12-31T00:00:01Z"&amp;"
 }
]"</f>
        <v>minimum_required_operating_system_version:[
 {
marketplace_id:1,
value:2019-12-31T00:00:01Z
 }
]</v>
      </c>
      <c r="R24">
        <f>COUNTIF('Cust Rel Requirements'!E2:E7,"=subtype_attribute")</f>
        <v>0</v>
      </c>
      <c r="AB24" t="s">
        <v>213</v>
      </c>
    </row>
    <row r="25" spans="5:28" ht="170" x14ac:dyDescent="0.2">
      <c r="E25" s="67" t="s">
        <v>282</v>
      </c>
      <c r="I25" s="19" t="str">
        <f>"{"&amp;CHAR(10)&amp;"ccp_attribute_name:["&amp;CHAR(10)&amp;
     Attribute!$G$20 &amp; CHAR(10)&amp;
  "],
  status:active,
  nested_table:{
    row_type:'TypedIntRangeVariant@1.0',
    selector:[
      marketplace_id,
      type
    ]
  }
}"</f>
        <v>{
ccp_attribute_name:[
minimum_required_operating_system_version
],
  status:active,
  nested_table:{
    row_type:'TypedIntRangeVariant@1.0',
    selector:[
      marketplace_id,
      type
    ]
  }
}</v>
      </c>
      <c r="P25" s="92" t="str">
        <f>Attribute!$C$21&amp;":[
 {"&amp;CHAR(10)&amp;"marketplace_id:1,"&amp;CHAR(10)&amp;"type:"&amp;'Display Properties'!D7&amp;","&amp;CHAR(10)&amp;"minimum:123,"&amp;CHAR(10)&amp;"maximum:125"&amp;CHAR(10)&amp;
" }
]"</f>
        <v>minimum_required_operating_system_version:[
 {
marketplace_id:1,
type:Windows 11,
minimum:123,
maximum:125
 }
]</v>
      </c>
      <c r="AB25" s="50" t="s">
        <v>236</v>
      </c>
    </row>
    <row r="26" spans="5:28" ht="170" x14ac:dyDescent="0.2">
      <c r="E26" s="67" t="s">
        <v>119</v>
      </c>
      <c r="I26" s="19" t="str">
        <f>"{"&amp;CHAR(10)&amp;"ccp_attribute_name:["&amp;CHAR(10)&amp;
     Attribute!$G$20 &amp; CHAR(10)&amp;
  "],
  status:active,
  nested_table:{
    row_type:'TypedIntVariant@1.0',
    selector:[
      marketplace_id,
      type
    ]
  }
}"</f>
        <v>{
ccp_attribute_name:[
minimum_required_operating_system_version
],
  status:active,
  nested_table:{
    row_type:'TypedIntVariant@1.0',
    selector:[
      marketplace_id,
      type
    ]
  }
}</v>
      </c>
      <c r="P26" s="44" t="str">
        <f>Attribute!$G$20&amp;":[
 {"&amp;CHAR(10)&amp;"marketplace_id:1,"&amp;CHAR(10)&amp;"type:"&amp;'Display Properties'!D7&amp;","&amp;CHAR(10)&amp;"value:123"&amp;'Display Properties'!D11&amp;"
 }
]"</f>
        <v>minimum_required_operating_system_version:[
 {
marketplace_id:1,
type:Windows 11,
value:123
 }
]</v>
      </c>
      <c r="AB26" t="s">
        <v>237</v>
      </c>
    </row>
    <row r="27" spans="5:28" ht="183" x14ac:dyDescent="0.2">
      <c r="E27" s="67" t="s">
        <v>160</v>
      </c>
      <c r="I27" s="19" t="str">
        <f>"{"&amp;CHAR(10)&amp;"ccp_attribute_name:["&amp;CHAR(10)&amp;
     Attribute!$G$20 &amp; CHAR(10)&amp;
  "],
  status:active,
  nested_table:{
    row_type:'TypedPriceVariant@1.0',
    selector:[
      marketplace_id,
      type,
      currency
    ]
  }
}"</f>
        <v>{
ccp_attribute_name:[
minimum_required_operating_system_version
],
  status:active,
  nested_table:{
    row_type:'TypedPriceVariant@1.0',
    selector:[
      marketplace_id,
      type,
      currency
    ]
  }
}</v>
      </c>
      <c r="P27" s="44" t="str">
        <f>Attribute!$C$21&amp;":[
 {"&amp;CHAR(10)&amp;"marketplace_id:1,"&amp;CHAR(10)&amp;"type:xyz,"&amp;CHAR(10)&amp;"value:11.99"&amp; CHAR(10) &amp;"currency:USD" &amp; CHAR(10)&amp; " }
]"</f>
        <v>minimum_required_operating_system_version:[
 {
marketplace_id:1,
type:xyz,
value:11.99
currency:USD
 }
]</v>
      </c>
      <c r="AB27" t="s">
        <v>279</v>
      </c>
    </row>
    <row r="28" spans="5:28" ht="170" x14ac:dyDescent="0.2">
      <c r="E28" s="67" t="s">
        <v>120</v>
      </c>
      <c r="I28" s="19" t="str">
        <f>"{"&amp;CHAR(10)&amp;"ccp_attribute_name:["&amp;CHAR(10)&amp;
     Attribute!$G$20 &amp; CHAR(10)&amp;
  "],
  status:active,
  nested_table:{
    row_type:'TypedQuantityVariant@1.0',
    selector:[
      marketplace_id,
      type
    ]
  }
}"</f>
        <v>{
ccp_attribute_name:[
minimum_required_operating_system_version
],
  status:active,
  nested_table:{
    row_type:'TypedQuantityVariant@1.0',
    selector:[
      marketplace_id,
      type
    ]
  }
}</v>
      </c>
      <c r="P28" s="44" t="str">
        <f>Attribute!$G$20&amp;":[
 {"&amp;CHAR(10)&amp;"marketplace_id:1,"&amp;CHAR(10)&amp;"type:"&amp;'Display Properties'!D7&amp;","&amp;CHAR(10)&amp;"quantity:2"&amp;'Display Properties'!D12&amp;"
 }
]"</f>
        <v>minimum_required_operating_system_version:[
 {
marketplace_id:1,
type:Windows 11,
quantity:2
 }
]</v>
      </c>
    </row>
    <row r="29" spans="5:28" ht="170" x14ac:dyDescent="0.2">
      <c r="E29" s="98" t="s">
        <v>121</v>
      </c>
      <c r="I29" s="19" t="str">
        <f>"{"&amp;CHAR(10)&amp;"ccp_attribute_name:["&amp;CHAR(10)&amp;
     Attribute!$G$20 &amp; CHAR(10)&amp;
  "],
  status:active,
  nested_table:{
    row_type:'TypedStringVariant@1.0',
    selector:[
      marketplace_id,
      type
    ]
  }
}"</f>
        <v>{
ccp_attribute_name:[
minimum_required_operating_system_version
],
  status:active,
  nested_table:{
    row_type:'TypedStringVariant@1.0',
    selector:[
      marketplace_id,
      type
    ]
  }
}</v>
      </c>
      <c r="P29" s="44" t="str">
        <f>Attribute!$G$20&amp;":[
 {"&amp;CHAR(10)&amp;"marketplace_id:1,"&amp;CHAR(10)&amp;"type:"&amp;'Display Properties'!D8&amp;","&amp;CHAR(10)&amp;"value:Widget 1"&amp;'Display Properties'!D12&amp;"
 }
]"</f>
        <v>minimum_required_operating_system_version:[
 {
marketplace_id:1,
type:Minimum Required Operating System Version,
value:Widget 1
 }
]</v>
      </c>
    </row>
    <row r="30" spans="5:28" ht="170" x14ac:dyDescent="0.2">
      <c r="E30" s="98" t="s">
        <v>122</v>
      </c>
      <c r="I30" s="19" t="str">
        <f>"{"&amp;CHAR(10)&amp;"ccp_attribute_name:["&amp;CHAR(10)&amp;
     Attribute!$G$20 &amp; CHAR(10)&amp;
  "],
  status:active,
  nested_table:{
    row_type:'TypedSymbolVariant@1.0',
    selector:[
      marketplace_id,
      type
    ]
  }
}"</f>
        <v>{
ccp_attribute_name:[
minimum_required_operating_system_version
],
  status:active,
  nested_table:{
    row_type:'TypedSymbolVariant@1.0',
    selector:[
      marketplace_id,
      type
    ]
  }
}</v>
      </c>
      <c r="P30" s="44" t="str">
        <f>Attribute!$G$20&amp;":[
 {"&amp;CHAR(10)&amp;"marketplace_id:1,"&amp;CHAR(10)&amp;"type:"&amp;Enumeration!C2&amp;","&amp;CHAR(10)&amp;"value:Special Widget"&amp;'Display Properties'!D13&amp;"
 }
]"</f>
        <v>minimum_required_operating_system_version:[
 {
marketplace_id:1,
type:windows_1_0,
value:Special Widget
 }
]</v>
      </c>
    </row>
    <row r="31" spans="5:28" ht="171" thickBot="1" x14ac:dyDescent="0.25">
      <c r="E31" s="67" t="s">
        <v>284</v>
      </c>
      <c r="I31" s="19" t="str">
        <f>"{"&amp;CHAR(10)&amp;"ccp_attribute_name:["&amp;CHAR(10)&amp;
     Attribute!$G$20 &amp; CHAR(10)&amp;
  "],
  status:active,
  nested_table:{
    row_type:'TypedUnitDecimalVariant@1.0',
    selector:[
      marketplace_id,
      type
    ]
  }
}"</f>
        <v>{
ccp_attribute_name:[
minimum_required_operating_system_version
],
  status:active,
  nested_table:{
    row_type:'TypedUnitDecimalVariant@1.0',
    selector:[
      marketplace_id,
      type
    ]
  }
}</v>
      </c>
      <c r="P31" s="44" t="str">
        <f>Attribute!$G$20&amp;":[
 {"&amp;CHAR(10)&amp;"marketplace_id:1,"&amp;CHAR(10)&amp;"type:"&amp;'Display Properties'!D12&amp;","&amp;CHAR(10)&amp;"value:123"&amp;'Display Properties'!D16&amp;CHAR(10)&amp;"unit:Inches"&amp;"
 }
]"</f>
        <v>minimum_required_operating_system_version:[
 {
marketplace_id:1,
type:,
value:123
unit:Inches
 }
]</v>
      </c>
    </row>
    <row r="32" spans="5:28" ht="158" thickTop="1" x14ac:dyDescent="0.2">
      <c r="E32" s="98" t="s">
        <v>117</v>
      </c>
      <c r="I32" s="52" t="str">
        <f>"{"&amp;CHAR(10)&amp;"ccp_attribute_name:["&amp;CHAR(10)&amp;
     Attribute!$G$20 &amp;CHAR(10)&amp;
"],
 nested_table:{
    row_type:'TypeSubTypeVariant@1.0',
    selector:[
    marketplace_id,
    type
    ]
 }
}"</f>
        <v>{
ccp_attribute_name:[
minimum_required_operating_system_version
],
 nested_table:{
    row_type:'TypeSubTypeVariant@1.0',
    selector:[
    marketplace_id,
    type
    ]
 }
}</v>
      </c>
      <c r="P32" s="44" t="str">
        <f>Attribute!$G$20&amp;":[
 {"&amp;CHAR(10)&amp;"marketplace_id:1,"&amp;CHAR(10)&amp;"type:"&amp;'Display Properties'!D7&amp;","&amp;CHAR(10)&amp;"subtype:"&amp;"XYZ"&amp;"
 }
]"</f>
        <v>minimum_required_operating_system_version:[
 {
marketplace_id:1,
type:Windows 11,
subtype:XYZ
 }
]</v>
      </c>
    </row>
    <row r="33" spans="5:16" ht="195" x14ac:dyDescent="0.2">
      <c r="E33" s="98" t="s">
        <v>149</v>
      </c>
      <c r="I33" s="45" t="str">
        <f>"{"&amp;CHAR(10)&amp;"ccp_attribute_name:["&amp;CHAR(10)&amp;
     Attribute!$G$20 &amp;CHAR(10)&amp;
"],
 nested_table:{
    row_type:'UnitDecimalRangeVariant@1.0',
    selector:[
    marketplace_id
    ]
 }
}"</f>
        <v>{
ccp_attribute_name:[
minimum_required_operating_system_version
],
 nested_table:{
    row_type:'UnitDecimalRangeVariant@1.0',
    selector:[
    marketplace_id
    ]
 }
}</v>
      </c>
      <c r="P33" s="44" t="str">
        <f>Attribute!$G$20&amp;":[
 {"&amp;CHAR(10)&amp;"marketplace_id:1,"&amp;CHAR(10)&amp;"minimum:{"&amp;CHAR(10)&amp;"   unit:inches,"&amp;CHAR(10)&amp;"   value:3"&amp;CHAR(10)&amp;"},"&amp;CHAR(10)&amp;"maximum:{"&amp;CHAR(10)&amp;"   unit:inches,"&amp;CHAR(10)&amp;"   value:10"&amp;CHAR(10)&amp;"}
]"</f>
        <v>minimum_required_operating_system_version:[
 {
marketplace_id:1,
minimum:{
   unit:inches,
   value:3
},
maximum:{
   unit:inches,
   value:10
}
]</v>
      </c>
    </row>
    <row r="34" spans="5:16" ht="144" x14ac:dyDescent="0.2">
      <c r="E34" s="21" t="s">
        <v>111</v>
      </c>
      <c r="I34" s="45" t="str">
        <f>"{"&amp;CHAR(10)&amp;"ccp_attribute_name:["&amp;CHAR(10)&amp;
     Attribute!$G$20 &amp;CHAR(10)&amp;
"],
 nested_table:{
    row_type:'UnitDecimalVariant@1.0',
    selector:[
    marketplace_id
    ]
 }
}"</f>
        <v>{
ccp_attribute_name:[
minimum_required_operating_system_version
],
 nested_table:{
    row_type:'UnitDecimalVariant@1.0',
    selector:[
    marketplace_id
    ]
 }
}</v>
      </c>
      <c r="P34" s="44" t="str">
        <f>Attribute!$G$20&amp;":[
 {"&amp;CHAR(10)&amp;"marketplace_id:1,"&amp;CHAR(10)&amp;"unit:inches,"&amp;CHAR(10)&amp;"value:5"&amp;"
 }
]"</f>
        <v>minimum_required_operating_system_version:[
 {
marketplace_id:1,
unit:inches,
value:5
 }
]</v>
      </c>
    </row>
    <row r="35" spans="5:16" ht="144" x14ac:dyDescent="0.2">
      <c r="E35" s="98" t="s">
        <v>153</v>
      </c>
      <c r="I35" s="45" t="str">
        <f>"{"&amp;CHAR(10)&amp;"ccp_attribute_name:["&amp;CHAR(10)&amp;
     Attribute!$G$20 &amp;CHAR(10)&amp;
"],
 nested_table:{
    row_type:'UnitIntVariant@1.0',
    selector:[
    marketplace_id
    ]
 }
}"</f>
        <v>{
ccp_attribute_name:[
minimum_required_operating_system_version
],
 nested_table:{
    row_type:'UnitIntVariant@1.0',
    selector:[
    marketplace_id
    ]
 }
}</v>
      </c>
      <c r="P35" s="44" t="str">
        <f>Attribute!$G$20&amp;":[
 {"&amp;CHAR(10)&amp;"marketplace_id:1,"&amp;CHAR(10)&amp;"unit:inches,"&amp;CHAR(10)&amp;"value:5"&amp;"
 }
]"</f>
        <v>minimum_required_operating_system_version:[
 {
marketplace_id:1,
unit:inches,
value:5
 }
]</v>
      </c>
    </row>
    <row r="36" spans="5:16" x14ac:dyDescent="0.2">
      <c r="P36" s="44"/>
    </row>
    <row r="37" spans="5:16" x14ac:dyDescent="0.2">
      <c r="E37" s="67"/>
    </row>
    <row r="38" spans="5:16" x14ac:dyDescent="0.2">
      <c r="E38" s="21"/>
    </row>
    <row r="39" spans="5:16" x14ac:dyDescent="0.2">
      <c r="P39" s="44"/>
    </row>
    <row r="40" spans="5:16" x14ac:dyDescent="0.2">
      <c r="E40" s="21"/>
      <c r="P40" s="44"/>
    </row>
  </sheetData>
  <sortState xmlns:xlrd2="http://schemas.microsoft.com/office/spreadsheetml/2017/richdata2" ref="AB3:AB28">
    <sortCondition ref="AB3:AB28"/>
  </sortState>
  <phoneticPr fontId="22" type="noConversion"/>
  <conditionalFormatting sqref="M2">
    <cfRule type="cellIs" dxfId="40" priority="10" operator="equal">
      <formula>"N"</formula>
    </cfRule>
  </conditionalFormatting>
  <conditionalFormatting sqref="M2">
    <cfRule type="expression" dxfId="39" priority="9">
      <formula>#REF!="FALSE"</formula>
    </cfRule>
  </conditionalFormatting>
  <conditionalFormatting sqref="M3">
    <cfRule type="expression" dxfId="38" priority="7">
      <formula>#REF!="FALSE"</formula>
    </cfRule>
  </conditionalFormatting>
  <conditionalFormatting sqref="M3">
    <cfRule type="cellIs" dxfId="37" priority="8" operator="equal">
      <formula>"N"</formula>
    </cfRule>
  </conditionalFormatting>
  <conditionalFormatting sqref="G1:G12">
    <cfRule type="duplicateValues" dxfId="36" priority="82"/>
  </conditionalFormatting>
  <conditionalFormatting sqref="AB12">
    <cfRule type="duplicateValues" dxfId="35" priority="2"/>
  </conditionalFormatting>
  <conditionalFormatting sqref="AB29:AB1048576 AB1:AB27">
    <cfRule type="duplicateValues" dxfId="34" priority="1"/>
  </conditionalFormatting>
  <conditionalFormatting sqref="AB31:AB1048576 AB1 AB12:AB27">
    <cfRule type="duplicateValues" dxfId="33" priority="109"/>
  </conditionalFormatting>
  <conditionalFormatting sqref="E21 E35 E37:E38 E2:E12 E14:E15 E18:E19 E24:E27">
    <cfRule type="duplicateValues" dxfId="32" priority="148"/>
  </conditionalFormatting>
  <hyperlinks>
    <hyperlink ref="E19" r:id="rId1" xr:uid="{5261D53B-54AB-448D-8CAD-A7A4ED724A9B}"/>
    <hyperlink ref="E21" r:id="rId2" xr:uid="{39C289DD-D9E1-4A0E-8117-92E8F8696827}"/>
    <hyperlink ref="E9" r:id="rId3" xr:uid="{A926408A-A4A3-408C-B122-4FE6E45C3BFF}"/>
    <hyperlink ref="E23" r:id="rId4" xr:uid="{67065E7C-2E0F-4012-8610-33A0F7ED413C}"/>
    <hyperlink ref="E24" r:id="rId5" xr:uid="{E1CB10B2-950C-4071-94DA-8263C11946DC}"/>
    <hyperlink ref="E5" r:id="rId6" xr:uid="{D0FDE9CF-42F1-46FF-98CA-15E4B955B164}"/>
    <hyperlink ref="E7" r:id="rId7" xr:uid="{1AC1F65B-EC0B-4A21-9BCE-20611ABA2D39}"/>
    <hyperlink ref="E32" r:id="rId8" xr:uid="{909B2234-68D8-46AD-B5E8-04ABA47DBE9E}"/>
    <hyperlink ref="E26" r:id="rId9" xr:uid="{07A30852-2AE7-415E-B1CD-73216C74E1B1}"/>
    <hyperlink ref="E29" r:id="rId10" xr:uid="{14B7D090-C189-4298-A7CD-4544F9D4179E}"/>
    <hyperlink ref="E30" r:id="rId11" xr:uid="{D3F56129-5979-44F8-A5C9-F20CD8B104EF}"/>
    <hyperlink ref="E33" r:id="rId12" xr:uid="{14706205-AB87-47A0-9284-96CA5CF5C377}"/>
    <hyperlink ref="E35" r:id="rId13" xr:uid="{8ED0507B-D7DB-4888-B8E8-B1F73FE1F6C0}"/>
    <hyperlink ref="E27" r:id="rId14" xr:uid="{D2922126-A3FE-4AED-A8DC-71C75E65D2A3}"/>
    <hyperlink ref="E6" r:id="rId15" xr:uid="{8BE836EA-F44D-4DDD-A0D2-8B5F08897B44}"/>
    <hyperlink ref="E25" r:id="rId16" xr:uid="{37AAD56E-C508-4487-91EC-C931A1366252}"/>
    <hyperlink ref="E31" r:id="rId17" xr:uid="{74853212-45E3-4DDE-B1F1-598AFAD326D1}"/>
    <hyperlink ref="E20" r:id="rId18" xr:uid="{C8BECAD5-0500-48F3-B5B6-7B73D48EAAD4}"/>
    <hyperlink ref="E10" r:id="rId19" xr:uid="{1202BC8E-B27F-470D-B070-C3A13BD3C85B}"/>
    <hyperlink ref="E13" r:id="rId20" xr:uid="{8373C97D-DEAB-47B0-B50D-ED4612C41DED}"/>
    <hyperlink ref="E11" r:id="rId21" xr:uid="{BB83514F-F2CF-4FAF-B1F2-30277DF73DAC}"/>
    <hyperlink ref="E28" r:id="rId22" xr:uid="{5C052536-E21C-43B2-9A00-47C973FF6299}"/>
  </hyperlinks>
  <pageMargins left="0.7" right="0.7" top="0.75" bottom="0.75" header="0.3" footer="0.3"/>
  <pageSetup orientation="portrait" r:id="rId23"/>
  <tableParts count="6">
    <tablePart r:id="rId24"/>
    <tablePart r:id="rId25"/>
    <tablePart r:id="rId26"/>
    <tablePart r:id="rId27"/>
    <tablePart r:id="rId28"/>
    <tablePart r:id="rId2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49"/>
  <sheetViews>
    <sheetView topLeftCell="A25" workbookViewId="0">
      <selection activeCell="F12" sqref="F12"/>
    </sheetView>
  </sheetViews>
  <sheetFormatPr baseColWidth="10" defaultColWidth="8.83203125" defaultRowHeight="15" x14ac:dyDescent="0.2"/>
  <cols>
    <col min="1" max="1" width="43.1640625" customWidth="1"/>
    <col min="2" max="2" width="43.5" customWidth="1"/>
  </cols>
  <sheetData>
    <row r="1" spans="1:2" x14ac:dyDescent="0.2">
      <c r="A1" s="2" t="s">
        <v>97</v>
      </c>
      <c r="B1" s="22" t="s">
        <v>124</v>
      </c>
    </row>
    <row r="2" spans="1:2" x14ac:dyDescent="0.2">
      <c r="A2" s="2" t="s">
        <v>90</v>
      </c>
      <c r="B2" s="22" t="s">
        <v>125</v>
      </c>
    </row>
    <row r="3" spans="1:2" x14ac:dyDescent="0.2">
      <c r="A3" s="2" t="s">
        <v>93</v>
      </c>
      <c r="B3" s="22" t="s">
        <v>126</v>
      </c>
    </row>
    <row r="4" spans="1:2" x14ac:dyDescent="0.2">
      <c r="A4" s="2" t="s">
        <v>121</v>
      </c>
      <c r="B4" s="22" t="s">
        <v>127</v>
      </c>
    </row>
    <row r="5" spans="1:2" x14ac:dyDescent="0.2">
      <c r="A5" s="13" t="s">
        <v>117</v>
      </c>
      <c r="B5" s="22" t="s">
        <v>127</v>
      </c>
    </row>
    <row r="6" spans="1:2" x14ac:dyDescent="0.2">
      <c r="A6" s="13" t="s">
        <v>119</v>
      </c>
      <c r="B6" s="22" t="s">
        <v>127</v>
      </c>
    </row>
    <row r="7" spans="1:2" x14ac:dyDescent="0.2">
      <c r="A7" s="13" t="s">
        <v>120</v>
      </c>
      <c r="B7" s="22" t="s">
        <v>127</v>
      </c>
    </row>
    <row r="8" spans="1:2" x14ac:dyDescent="0.2">
      <c r="A8" s="13" t="s">
        <v>122</v>
      </c>
      <c r="B8" s="22" t="s">
        <v>127</v>
      </c>
    </row>
    <row r="9" spans="1:2" x14ac:dyDescent="0.2">
      <c r="A9" s="2" t="s">
        <v>123</v>
      </c>
      <c r="B9" s="22" t="s">
        <v>127</v>
      </c>
    </row>
    <row r="10" spans="1:2" x14ac:dyDescent="0.2">
      <c r="A10" s="1" t="s">
        <v>113</v>
      </c>
      <c r="B10" s="15" t="s">
        <v>162</v>
      </c>
    </row>
    <row r="11" spans="1:2" x14ac:dyDescent="0.2">
      <c r="A11" s="2" t="s">
        <v>109</v>
      </c>
      <c r="B11" s="22" t="s">
        <v>129</v>
      </c>
    </row>
    <row r="12" spans="1:2" x14ac:dyDescent="0.2">
      <c r="A12" s="2" t="s">
        <v>20</v>
      </c>
      <c r="B12" s="22" t="s">
        <v>129</v>
      </c>
    </row>
    <row r="13" spans="1:2" x14ac:dyDescent="0.2">
      <c r="A13" s="2" t="s">
        <v>105</v>
      </c>
      <c r="B13" s="22" t="s">
        <v>129</v>
      </c>
    </row>
    <row r="14" spans="1:2" x14ac:dyDescent="0.2">
      <c r="A14" s="2" t="s">
        <v>115</v>
      </c>
      <c r="B14" s="22" t="s">
        <v>128</v>
      </c>
    </row>
    <row r="15" spans="1:2" x14ac:dyDescent="0.2">
      <c r="A15" s="2" t="s">
        <v>111</v>
      </c>
      <c r="B15" s="22" t="s">
        <v>130</v>
      </c>
    </row>
    <row r="16" spans="1:2" x14ac:dyDescent="0.2">
      <c r="A16" s="2" t="s">
        <v>134</v>
      </c>
      <c r="B16" s="2" t="s">
        <v>125</v>
      </c>
    </row>
    <row r="17" spans="1:2" x14ac:dyDescent="0.2">
      <c r="A17" s="1" t="s">
        <v>151</v>
      </c>
      <c r="B17" s="2" t="s">
        <v>152</v>
      </c>
    </row>
    <row r="18" spans="1:2" x14ac:dyDescent="0.2">
      <c r="A18" s="2" t="s">
        <v>135</v>
      </c>
      <c r="B18" s="22" t="s">
        <v>126</v>
      </c>
    </row>
    <row r="19" spans="1:2" x14ac:dyDescent="0.2">
      <c r="A19" s="2" t="s">
        <v>136</v>
      </c>
      <c r="B19" s="22" t="s">
        <v>128</v>
      </c>
    </row>
    <row r="20" spans="1:2" x14ac:dyDescent="0.2">
      <c r="A20" s="2" t="s">
        <v>137</v>
      </c>
      <c r="B20" s="2" t="s">
        <v>124</v>
      </c>
    </row>
    <row r="21" spans="1:2" x14ac:dyDescent="0.2">
      <c r="A21" s="2" t="s">
        <v>138</v>
      </c>
      <c r="B21" s="22" t="s">
        <v>129</v>
      </c>
    </row>
    <row r="22" spans="1:2" x14ac:dyDescent="0.2">
      <c r="A22" s="2" t="s">
        <v>139</v>
      </c>
      <c r="B22" s="22" t="s">
        <v>129</v>
      </c>
    </row>
    <row r="23" spans="1:2" x14ac:dyDescent="0.2">
      <c r="A23" s="2" t="s">
        <v>140</v>
      </c>
      <c r="B23" s="22" t="s">
        <v>129</v>
      </c>
    </row>
    <row r="24" spans="1:2" x14ac:dyDescent="0.2">
      <c r="A24" s="1" t="s">
        <v>153</v>
      </c>
      <c r="B24" s="2" t="s">
        <v>130</v>
      </c>
    </row>
    <row r="25" spans="1:2" x14ac:dyDescent="0.2">
      <c r="A25" s="1" t="s">
        <v>149</v>
      </c>
      <c r="B25" s="22" t="s">
        <v>127</v>
      </c>
    </row>
    <row r="26" spans="1:2" x14ac:dyDescent="0.2">
      <c r="A26" s="2" t="s">
        <v>141</v>
      </c>
      <c r="B26" s="2" t="s">
        <v>130</v>
      </c>
    </row>
    <row r="27" spans="1:2" x14ac:dyDescent="0.2">
      <c r="A27" s="2" t="s">
        <v>161</v>
      </c>
      <c r="B27" s="22" t="s">
        <v>162</v>
      </c>
    </row>
    <row r="28" spans="1:2" x14ac:dyDescent="0.2">
      <c r="A28" s="2" t="s">
        <v>159</v>
      </c>
      <c r="B28" s="22" t="s">
        <v>162</v>
      </c>
    </row>
    <row r="29" spans="1:2" x14ac:dyDescent="0.2">
      <c r="A29" s="2" t="s">
        <v>173</v>
      </c>
      <c r="B29" s="22" t="s">
        <v>152</v>
      </c>
    </row>
    <row r="30" spans="1:2" x14ac:dyDescent="0.2">
      <c r="A30" s="2" t="s">
        <v>160</v>
      </c>
      <c r="B30" s="2" t="s">
        <v>127</v>
      </c>
    </row>
    <row r="31" spans="1:2" x14ac:dyDescent="0.2">
      <c r="A31" s="93" t="s">
        <v>277</v>
      </c>
      <c r="B31" s="2" t="s">
        <v>127</v>
      </c>
    </row>
    <row r="32" spans="1:2" x14ac:dyDescent="0.2">
      <c r="A32" s="94" t="s">
        <v>282</v>
      </c>
      <c r="B32" s="2" t="s">
        <v>127</v>
      </c>
    </row>
    <row r="33" spans="1:4" x14ac:dyDescent="0.2">
      <c r="A33" s="95" t="s">
        <v>270</v>
      </c>
      <c r="B33" s="2" t="s">
        <v>127</v>
      </c>
      <c r="D33" s="95"/>
    </row>
    <row r="34" spans="1:4" x14ac:dyDescent="0.2">
      <c r="A34" s="94" t="s">
        <v>271</v>
      </c>
      <c r="B34" s="2" t="s">
        <v>127</v>
      </c>
      <c r="D34" s="94"/>
    </row>
    <row r="35" spans="1:4" x14ac:dyDescent="0.2">
      <c r="A35" s="95" t="s">
        <v>272</v>
      </c>
      <c r="B35" s="2" t="s">
        <v>127</v>
      </c>
      <c r="D35" s="95"/>
    </row>
    <row r="36" spans="1:4" x14ac:dyDescent="0.2">
      <c r="A36" s="96" t="s">
        <v>273</v>
      </c>
      <c r="B36" s="2" t="s">
        <v>127</v>
      </c>
      <c r="D36" s="96"/>
    </row>
    <row r="37" spans="1:4" x14ac:dyDescent="0.2">
      <c r="A37" s="95" t="s">
        <v>274</v>
      </c>
      <c r="B37" s="2" t="s">
        <v>127</v>
      </c>
      <c r="D37" s="95"/>
    </row>
    <row r="38" spans="1:4" x14ac:dyDescent="0.2">
      <c r="A38" s="96" t="s">
        <v>275</v>
      </c>
      <c r="B38" s="2" t="s">
        <v>127</v>
      </c>
      <c r="D38" s="96"/>
    </row>
    <row r="39" spans="1:4" x14ac:dyDescent="0.2">
      <c r="A39" s="95" t="s">
        <v>276</v>
      </c>
      <c r="B39" s="2" t="s">
        <v>127</v>
      </c>
      <c r="D39" s="95"/>
    </row>
    <row r="40" spans="1:4" x14ac:dyDescent="0.2">
      <c r="A40" s="94" t="s">
        <v>290</v>
      </c>
      <c r="B40" s="2" t="s">
        <v>127</v>
      </c>
      <c r="D40" s="94"/>
    </row>
    <row r="41" spans="1:4" x14ac:dyDescent="0.2">
      <c r="A41" s="96" t="s">
        <v>291</v>
      </c>
      <c r="B41" s="2" t="s">
        <v>127</v>
      </c>
      <c r="D41" s="96"/>
    </row>
    <row r="42" spans="1:4" x14ac:dyDescent="0.2">
      <c r="A42" s="102" t="s">
        <v>292</v>
      </c>
      <c r="B42" s="2" t="s">
        <v>127</v>
      </c>
      <c r="D42" s="102"/>
    </row>
    <row r="43" spans="1:4" x14ac:dyDescent="0.2">
      <c r="A43" s="94" t="s">
        <v>293</v>
      </c>
      <c r="B43" s="2" t="s">
        <v>127</v>
      </c>
      <c r="D43" s="94"/>
    </row>
    <row r="45" spans="1:4" x14ac:dyDescent="0.2">
      <c r="A45" s="102"/>
    </row>
    <row r="46" spans="1:4" x14ac:dyDescent="0.2">
      <c r="A46" s="96"/>
    </row>
    <row r="47" spans="1:4" x14ac:dyDescent="0.2">
      <c r="A47" s="103"/>
    </row>
    <row r="48" spans="1:4" x14ac:dyDescent="0.2">
      <c r="A48" s="96"/>
    </row>
    <row r="49" spans="1:1" x14ac:dyDescent="0.2">
      <c r="A49" s="96"/>
    </row>
  </sheetData>
  <sheetProtection selectLockedCells="1" selectUnlockedCells="1"/>
  <conditionalFormatting sqref="A39 A31:A32">
    <cfRule type="duplicateValues" dxfId="10" priority="6"/>
  </conditionalFormatting>
  <conditionalFormatting sqref="A31:A39">
    <cfRule type="duplicateValues" dxfId="9" priority="112"/>
  </conditionalFormatting>
  <conditionalFormatting sqref="A43 A45:A46 A40 A48:A49">
    <cfRule type="duplicateValues" dxfId="8" priority="4"/>
  </conditionalFormatting>
  <conditionalFormatting sqref="A1:A30 A53:A1048576">
    <cfRule type="duplicateValues" dxfId="7" priority="152"/>
  </conditionalFormatting>
  <conditionalFormatting sqref="D39">
    <cfRule type="duplicateValues" dxfId="6" priority="3"/>
  </conditionalFormatting>
  <conditionalFormatting sqref="D33:D39">
    <cfRule type="duplicateValues" dxfId="5" priority="2"/>
  </conditionalFormatting>
  <conditionalFormatting sqref="D43 D40">
    <cfRule type="duplicateValues" dxfId="4" priority="1"/>
  </conditionalFormatting>
  <hyperlinks>
    <hyperlink ref="A10" r:id="rId1" xr:uid="{8EE8A7CA-E15A-451C-B32A-17B2520F73AA}"/>
    <hyperlink ref="A17" r:id="rId2" xr:uid="{7F9D725C-D14B-4877-B1B0-AD61B8D33101}"/>
    <hyperlink ref="A24" r:id="rId3" xr:uid="{2B2FCE3A-0DB7-468C-9D3D-13937E195051}"/>
    <hyperlink ref="A25" r:id="rId4" xr:uid="{CED1984F-A67B-488E-BD8D-ECA8BA7D1658}"/>
    <hyperlink ref="A34" r:id="rId5" xr:uid="{C543DEB4-2B64-4F6C-8E00-1F6B76615353}"/>
    <hyperlink ref="A32" r:id="rId6" xr:uid="{4B23B9AA-2CDF-4E96-8F58-FBA4E5052C83}"/>
    <hyperlink ref="A40" r:id="rId7" xr:uid="{AD8841E7-011B-46E6-AAAA-24097B1E3D68}"/>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43"/>
  <sheetViews>
    <sheetView topLeftCell="A37" workbookViewId="0">
      <selection activeCell="A26" sqref="A26:XFD26"/>
    </sheetView>
  </sheetViews>
  <sheetFormatPr baseColWidth="10" defaultColWidth="8.83203125" defaultRowHeight="15" x14ac:dyDescent="0.2"/>
  <cols>
    <col min="1" max="1" width="41.1640625" customWidth="1"/>
    <col min="2" max="2" width="31" customWidth="1"/>
  </cols>
  <sheetData>
    <row r="1" spans="1:2" x14ac:dyDescent="0.2">
      <c r="A1" s="13" t="s">
        <v>97</v>
      </c>
      <c r="B1" s="13" t="s">
        <v>131</v>
      </c>
    </row>
    <row r="2" spans="1:2" x14ac:dyDescent="0.2">
      <c r="A2" s="13" t="s">
        <v>90</v>
      </c>
      <c r="B2" s="13" t="s">
        <v>132</v>
      </c>
    </row>
    <row r="3" spans="1:2" x14ac:dyDescent="0.2">
      <c r="A3" s="13" t="s">
        <v>93</v>
      </c>
      <c r="B3" s="13" t="s">
        <v>132</v>
      </c>
    </row>
    <row r="4" spans="1:2" x14ac:dyDescent="0.2">
      <c r="A4" s="13" t="s">
        <v>121</v>
      </c>
      <c r="B4" s="15" t="s">
        <v>131</v>
      </c>
    </row>
    <row r="5" spans="1:2" x14ac:dyDescent="0.2">
      <c r="A5" s="13" t="s">
        <v>117</v>
      </c>
      <c r="B5" s="15" t="s">
        <v>131</v>
      </c>
    </row>
    <row r="6" spans="1:2" x14ac:dyDescent="0.2">
      <c r="A6" s="13" t="s">
        <v>119</v>
      </c>
      <c r="B6" s="15" t="s">
        <v>131</v>
      </c>
    </row>
    <row r="7" spans="1:2" x14ac:dyDescent="0.2">
      <c r="A7" s="13" t="s">
        <v>120</v>
      </c>
      <c r="B7" s="15" t="s">
        <v>131</v>
      </c>
    </row>
    <row r="8" spans="1:2" x14ac:dyDescent="0.2">
      <c r="A8" s="13" t="s">
        <v>122</v>
      </c>
      <c r="B8" s="15" t="s">
        <v>131</v>
      </c>
    </row>
    <row r="9" spans="1:2" x14ac:dyDescent="0.2">
      <c r="A9" s="13" t="s">
        <v>123</v>
      </c>
      <c r="B9" s="15" t="s">
        <v>131</v>
      </c>
    </row>
    <row r="10" spans="1:2" x14ac:dyDescent="0.2">
      <c r="A10" s="1" t="s">
        <v>149</v>
      </c>
      <c r="B10" s="15" t="s">
        <v>131</v>
      </c>
    </row>
    <row r="11" spans="1:2" x14ac:dyDescent="0.2">
      <c r="A11" s="13" t="s">
        <v>109</v>
      </c>
      <c r="B11" s="13" t="s">
        <v>132</v>
      </c>
    </row>
    <row r="12" spans="1:2" x14ac:dyDescent="0.2">
      <c r="A12" s="14" t="s">
        <v>20</v>
      </c>
      <c r="B12" s="13" t="s">
        <v>132</v>
      </c>
    </row>
    <row r="13" spans="1:2" x14ac:dyDescent="0.2">
      <c r="A13" t="s">
        <v>105</v>
      </c>
      <c r="B13" s="13" t="s">
        <v>131</v>
      </c>
    </row>
    <row r="14" spans="1:2" x14ac:dyDescent="0.2">
      <c r="A14" s="13" t="s">
        <v>115</v>
      </c>
      <c r="B14" s="13" t="s">
        <v>132</v>
      </c>
    </row>
    <row r="15" spans="1:2" x14ac:dyDescent="0.2">
      <c r="A15" s="13" t="s">
        <v>113</v>
      </c>
      <c r="B15" s="15" t="s">
        <v>162</v>
      </c>
    </row>
    <row r="16" spans="1:2" x14ac:dyDescent="0.2">
      <c r="A16" s="13" t="s">
        <v>111</v>
      </c>
      <c r="B16" s="13" t="s">
        <v>132</v>
      </c>
    </row>
    <row r="17" spans="1:2" x14ac:dyDescent="0.2">
      <c r="A17" s="2" t="s">
        <v>134</v>
      </c>
      <c r="B17" s="2" t="s">
        <v>132</v>
      </c>
    </row>
    <row r="18" spans="1:2" x14ac:dyDescent="0.2">
      <c r="A18" s="2" t="s">
        <v>135</v>
      </c>
      <c r="B18" s="2" t="s">
        <v>132</v>
      </c>
    </row>
    <row r="19" spans="1:2" x14ac:dyDescent="0.2">
      <c r="A19" s="2" t="s">
        <v>136</v>
      </c>
      <c r="B19" s="2" t="s">
        <v>132</v>
      </c>
    </row>
    <row r="20" spans="1:2" x14ac:dyDescent="0.2">
      <c r="A20" s="2" t="s">
        <v>137</v>
      </c>
      <c r="B20" s="15" t="s">
        <v>131</v>
      </c>
    </row>
    <row r="21" spans="1:2" x14ac:dyDescent="0.2">
      <c r="A21" s="2" t="s">
        <v>138</v>
      </c>
      <c r="B21" s="15" t="s">
        <v>131</v>
      </c>
    </row>
    <row r="22" spans="1:2" x14ac:dyDescent="0.2">
      <c r="A22" s="2" t="s">
        <v>139</v>
      </c>
      <c r="B22" s="2" t="s">
        <v>132</v>
      </c>
    </row>
    <row r="23" spans="1:2" x14ac:dyDescent="0.2">
      <c r="A23" s="2" t="s">
        <v>140</v>
      </c>
      <c r="B23" s="2" t="s">
        <v>132</v>
      </c>
    </row>
    <row r="24" spans="1:2" x14ac:dyDescent="0.2">
      <c r="A24" s="2" t="s">
        <v>141</v>
      </c>
      <c r="B24" s="2" t="s">
        <v>132</v>
      </c>
    </row>
    <row r="25" spans="1:2" x14ac:dyDescent="0.2">
      <c r="A25" s="2" t="s">
        <v>151</v>
      </c>
      <c r="B25" s="2" t="s">
        <v>132</v>
      </c>
    </row>
    <row r="26" spans="1:2" x14ac:dyDescent="0.2">
      <c r="A26" s="2" t="s">
        <v>159</v>
      </c>
      <c r="B26" s="15" t="s">
        <v>162</v>
      </c>
    </row>
    <row r="27" spans="1:2" x14ac:dyDescent="0.2">
      <c r="A27" s="2" t="s">
        <v>161</v>
      </c>
      <c r="B27" s="15" t="s">
        <v>162</v>
      </c>
    </row>
    <row r="28" spans="1:2" x14ac:dyDescent="0.2">
      <c r="A28" s="2" t="s">
        <v>160</v>
      </c>
      <c r="B28" s="2" t="s">
        <v>131</v>
      </c>
    </row>
    <row r="29" spans="1:2" x14ac:dyDescent="0.2">
      <c r="A29" s="2" t="s">
        <v>153</v>
      </c>
      <c r="B29" s="13" t="s">
        <v>132</v>
      </c>
    </row>
    <row r="30" spans="1:2" x14ac:dyDescent="0.2">
      <c r="A30" s="97" t="s">
        <v>283</v>
      </c>
      <c r="B30" s="2" t="s">
        <v>131</v>
      </c>
    </row>
    <row r="31" spans="1:2" x14ac:dyDescent="0.2">
      <c r="A31" s="93" t="s">
        <v>277</v>
      </c>
      <c r="B31" s="2" t="s">
        <v>131</v>
      </c>
    </row>
    <row r="32" spans="1:2" x14ac:dyDescent="0.2">
      <c r="A32" s="94" t="s">
        <v>282</v>
      </c>
      <c r="B32" s="2" t="s">
        <v>131</v>
      </c>
    </row>
    <row r="33" spans="1:2" x14ac:dyDescent="0.2">
      <c r="A33" s="95" t="s">
        <v>270</v>
      </c>
      <c r="B33" s="2" t="s">
        <v>131</v>
      </c>
    </row>
    <row r="34" spans="1:2" x14ac:dyDescent="0.2">
      <c r="A34" s="94" t="s">
        <v>271</v>
      </c>
      <c r="B34" s="2" t="s">
        <v>131</v>
      </c>
    </row>
    <row r="35" spans="1:2" x14ac:dyDescent="0.2">
      <c r="A35" s="95" t="s">
        <v>272</v>
      </c>
      <c r="B35" s="2" t="s">
        <v>131</v>
      </c>
    </row>
    <row r="36" spans="1:2" x14ac:dyDescent="0.2">
      <c r="A36" s="96" t="s">
        <v>273</v>
      </c>
      <c r="B36" s="2" t="s">
        <v>131</v>
      </c>
    </row>
    <row r="37" spans="1:2" x14ac:dyDescent="0.2">
      <c r="A37" s="95" t="s">
        <v>274</v>
      </c>
      <c r="B37" s="2" t="s">
        <v>131</v>
      </c>
    </row>
    <row r="38" spans="1:2" x14ac:dyDescent="0.2">
      <c r="A38" s="96" t="s">
        <v>275</v>
      </c>
      <c r="B38" s="2" t="s">
        <v>131</v>
      </c>
    </row>
    <row r="39" spans="1:2" x14ac:dyDescent="0.2">
      <c r="A39" s="95" t="s">
        <v>276</v>
      </c>
      <c r="B39" s="2" t="s">
        <v>131</v>
      </c>
    </row>
    <row r="40" spans="1:2" x14ac:dyDescent="0.2">
      <c r="A40" s="94" t="s">
        <v>290</v>
      </c>
      <c r="B40" s="2" t="s">
        <v>131</v>
      </c>
    </row>
    <row r="41" spans="1:2" x14ac:dyDescent="0.2">
      <c r="A41" s="96" t="s">
        <v>291</v>
      </c>
      <c r="B41" s="2" t="s">
        <v>131</v>
      </c>
    </row>
    <row r="42" spans="1:2" x14ac:dyDescent="0.2">
      <c r="A42" s="102" t="s">
        <v>292</v>
      </c>
      <c r="B42" s="2" t="s">
        <v>131</v>
      </c>
    </row>
    <row r="43" spans="1:2" x14ac:dyDescent="0.2">
      <c r="A43" s="94" t="s">
        <v>293</v>
      </c>
      <c r="B43" s="2" t="s">
        <v>131</v>
      </c>
    </row>
  </sheetData>
  <sheetProtection selectLockedCells="1" selectUnlockedCells="1"/>
  <conditionalFormatting sqref="A44:A1048576 A1:A30">
    <cfRule type="duplicateValues" dxfId="3" priority="4"/>
  </conditionalFormatting>
  <conditionalFormatting sqref="A39 A31:A32">
    <cfRule type="duplicateValues" dxfId="2" priority="3"/>
  </conditionalFormatting>
  <conditionalFormatting sqref="A44:A1048576 A1:A39">
    <cfRule type="duplicateValues" dxfId="1" priority="2"/>
  </conditionalFormatting>
  <conditionalFormatting sqref="A43 A40">
    <cfRule type="duplicateValues" dxfId="0" priority="1"/>
  </conditionalFormatting>
  <hyperlinks>
    <hyperlink ref="A10" r:id="rId1" xr:uid="{4CAC4254-D2B1-4EA3-ACA6-20C30C44854E}"/>
    <hyperlink ref="A34" r:id="rId2" xr:uid="{3B7F9B1C-B912-4038-B16B-F3B87820CC57}"/>
    <hyperlink ref="A32" r:id="rId3" xr:uid="{867942CA-D443-455D-BDDF-DAECE37291A2}"/>
    <hyperlink ref="A30" r:id="rId4" xr:uid="{0239C0C5-333F-4E53-8D23-536FA5F803B3}"/>
    <hyperlink ref="A40" r:id="rId5" xr:uid="{5FBECFFB-D38F-41E4-8D0E-200927F15008}"/>
  </hyperlinks>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5cb6e543-bb96-4a18-9b0c-50b39523cb35">
      <UserInfo>
        <DisplayName>AL Asswad, Mohammad</DisplayName>
        <AccountId>891</AccountId>
        <AccountType/>
      </UserInfo>
      <UserInfo>
        <DisplayName>Ruiz, Juan</DisplayName>
        <AccountId>175</AccountId>
        <AccountType/>
      </UserInfo>
    </SharedWithUsers>
    <Target_x0020_Audiences xmlns="0f167843-f9c5-484b-9610-2da246506a8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2AB037250143848B5ABC95EBA0416F3" ma:contentTypeVersion="2" ma:contentTypeDescription="Create a new document." ma:contentTypeScope="" ma:versionID="5ef3f48504119382b0fb36a1cebda7e5">
  <xsd:schema xmlns:xsd="http://www.w3.org/2001/XMLSchema" xmlns:xs="http://www.w3.org/2001/XMLSchema" xmlns:p="http://schemas.microsoft.com/office/2006/metadata/properties" xmlns:ns2="5cb6e543-bb96-4a18-9b0c-50b39523cb35" xmlns:ns3="0f167843-f9c5-484b-9610-2da246506a85" targetNamespace="http://schemas.microsoft.com/office/2006/metadata/properties" ma:root="true" ma:fieldsID="6207f4dc00ee92a5dc7eb4bc56c006f9" ns2:_="" ns3:_="">
    <xsd:import namespace="5cb6e543-bb96-4a18-9b0c-50b39523cb35"/>
    <xsd:import namespace="0f167843-f9c5-484b-9610-2da246506a85"/>
    <xsd:element name="properties">
      <xsd:complexType>
        <xsd:sequence>
          <xsd:element name="documentManagement">
            <xsd:complexType>
              <xsd:all>
                <xsd:element ref="ns2:SharedWithUsers" minOccurs="0"/>
                <xsd:element ref="ns3:Target_x0020_Audienc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b6e543-bb96-4a18-9b0c-50b39523cb3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7843-f9c5-484b-9610-2da246506a85" elementFormDefault="qualified">
    <xsd:import namespace="http://schemas.microsoft.com/office/2006/documentManagement/types"/>
    <xsd:import namespace="http://schemas.microsoft.com/office/infopath/2007/PartnerControls"/>
    <xsd:element name="Target_x0020_Audiences" ma:index="9" nillable="true" ma:displayName="Target Audiences" ma:internalName="Target_x0020_Audience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A3ECD8-B802-40E8-8916-8A009B0A464E}">
  <ds:schemaRefs>
    <ds:schemaRef ds:uri="http://schemas.microsoft.com/sharepoint/v3/contenttype/forms"/>
  </ds:schemaRefs>
</ds:datastoreItem>
</file>

<file path=customXml/itemProps2.xml><?xml version="1.0" encoding="utf-8"?>
<ds:datastoreItem xmlns:ds="http://schemas.openxmlformats.org/officeDocument/2006/customXml" ds:itemID="{8CACBEE2-8BA6-4972-A43C-9E985F161A1B}">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f167843-f9c5-484b-9610-2da246506a85"/>
    <ds:schemaRef ds:uri="5cb6e543-bb96-4a18-9b0c-50b39523cb35"/>
    <ds:schemaRef ds:uri="http://www.w3.org/XML/1998/namespace"/>
  </ds:schemaRefs>
</ds:datastoreItem>
</file>

<file path=customXml/itemProps3.xml><?xml version="1.0" encoding="utf-8"?>
<ds:datastoreItem xmlns:ds="http://schemas.openxmlformats.org/officeDocument/2006/customXml" ds:itemID="{C9FD086C-4F9A-4CBB-8D64-AC25851618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b6e543-bb96-4a18-9b0c-50b39523cb35"/>
    <ds:schemaRef ds:uri="0f167843-f9c5-484b-9610-2da246506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Change Sum</vt:lpstr>
      <vt:lpstr>Attribute</vt:lpstr>
      <vt:lpstr>subattribute</vt:lpstr>
      <vt:lpstr>Constraint</vt:lpstr>
      <vt:lpstr>Enumeration</vt:lpstr>
      <vt:lpstr>Datatype</vt:lpstr>
      <vt:lpstr> Datatype Field</vt:lpstr>
      <vt:lpstr>Display Properties</vt:lpstr>
      <vt:lpstr>Attribute Properties</vt:lpstr>
      <vt:lpstr>Cust Rel Requirements</vt:lpstr>
      <vt:lpstr>Errors</vt:lpstr>
      <vt:lpstr>Notes</vt:lpstr>
      <vt:lpstr>Sheet1</vt:lpstr>
      <vt:lpstr>contype</vt:lpstr>
      <vt:lpstr>RTIP</vt:lpstr>
      <vt:lpstr>V2AttrType</vt:lpstr>
      <vt:lpstr>Complex_Attribute_Datatype</vt:lpstr>
      <vt:lpstr>Component_Attribute_Datatype</vt:lpstr>
      <vt:lpstr>Component_Data_Type</vt:lpstr>
      <vt:lpstr>Component_Datatype</vt:lpstr>
      <vt:lpstr>Datatype</vt:lpstr>
    </vt:vector>
  </TitlesOfParts>
  <Manager/>
  <Company>Amazon 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Kauz, Eric</dc:creator>
  <cp:keywords/>
  <dc:description/>
  <cp:lastModifiedBy>Kuttikattu Gopalakrishnan, Thrishna</cp:lastModifiedBy>
  <cp:revision/>
  <dcterms:created xsi:type="dcterms:W3CDTF">2019-10-08T13:05:18Z</dcterms:created>
  <dcterms:modified xsi:type="dcterms:W3CDTF">2025-08-05T11:19:07Z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0x01010062AB037250143848B5ABC95EBA0416F3</vt:lpwstr>
  </property>
  <property fmtid="{D5CDD505-2E9C-101B-9397-08002B2CF9AE}" pid="3" name="Microsoft.ReportingServices.InteractiveReport.Excel.SheetName">
    <vt:i4>2</vt:i4>
  </property>
  <property fmtid="{D5CDD505-2E9C-101B-9397-08002B2CF9AE}" pid="4" name="MSIP_Label_eb19ca94-c290-44a3-80c4-dfd6adf0620b_Enabled">
    <vt:lpwstr>true</vt:lpwstr>
  </property>
  <property fmtid="{D5CDD505-2E9C-101B-9397-08002B2CF9AE}" pid="5" name="MSIP_Label_eb19ca94-c290-44a3-80c4-dfd6adf0620b_SetDate">
    <vt:lpwstr>2024-01-10T16:31:06Z</vt:lpwstr>
  </property>
  <property fmtid="{D5CDD505-2E9C-101B-9397-08002B2CF9AE}" pid="6" name="MSIP_Label_eb19ca94-c290-44a3-80c4-dfd6adf0620b_Method">
    <vt:lpwstr>Privileged</vt:lpwstr>
  </property>
  <property fmtid="{D5CDD505-2E9C-101B-9397-08002B2CF9AE}" pid="7" name="MSIP_Label_eb19ca94-c290-44a3-80c4-dfd6adf0620b_Name">
    <vt:lpwstr>Amazon Public</vt:lpwstr>
  </property>
  <property fmtid="{D5CDD505-2E9C-101B-9397-08002B2CF9AE}" pid="8" name="MSIP_Label_eb19ca94-c290-44a3-80c4-dfd6adf0620b_SiteId">
    <vt:lpwstr>5280104a-472d-4538-9ccf-1e1d0efe8b1b</vt:lpwstr>
  </property>
  <property fmtid="{D5CDD505-2E9C-101B-9397-08002B2CF9AE}" pid="9" name="MSIP_Label_eb19ca94-c290-44a3-80c4-dfd6adf0620b_ActionId">
    <vt:lpwstr>dd77c4b0-7c14-4dfb-95f9-b1dbf6a575ca</vt:lpwstr>
  </property>
  <property fmtid="{D5CDD505-2E9C-101B-9397-08002B2CF9AE}" pid="10" name="MSIP_Label_eb19ca94-c290-44a3-80c4-dfd6adf0620b_ContentBits">
    <vt:lpwstr>0</vt:lpwstr>
  </property>
</Properties>
</file>